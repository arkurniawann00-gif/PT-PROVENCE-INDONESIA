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DATA\DATA\my document\Data PT\HALAL\PAK RUBAI - FEB 2026 UPDATE\"/>
    </mc:Choice>
  </mc:AlternateContent>
  <bookViews>
    <workbookView xWindow="-105" yWindow="-105" windowWidth="23250" windowHeight="12450"/>
  </bookViews>
  <sheets>
    <sheet name="Daftar Produk &amp; Bahan (2)" sheetId="8" r:id="rId1"/>
    <sheet name="Petunjuk Pengisian" sheetId="2" r:id="rId2"/>
  </sheets>
  <definedNames>
    <definedName name="_xlnm.Print_Area" localSheetId="0">'Daftar Produk &amp; Bahan (2)'!$CG$3:$CL$33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9" i="8" l="1"/>
  <c r="C245" i="8"/>
  <c r="C244" i="8"/>
  <c r="C239" i="8"/>
  <c r="C240" i="8"/>
  <c r="C241" i="8"/>
  <c r="C242" i="8"/>
  <c r="C243" i="8"/>
  <c r="C246" i="8"/>
  <c r="C247" i="8"/>
  <c r="C192" i="8"/>
  <c r="C193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25" i="8"/>
  <c r="C216" i="8"/>
  <c r="C217" i="8"/>
  <c r="C218" i="8"/>
  <c r="C219" i="8"/>
  <c r="C220" i="8"/>
  <c r="C221" i="8"/>
  <c r="C222" i="8"/>
  <c r="C223" i="8"/>
  <c r="C224" i="8"/>
  <c r="C201" i="8"/>
  <c r="C202" i="8"/>
  <c r="C203" i="8"/>
  <c r="C204" i="8"/>
  <c r="C205" i="8"/>
  <c r="C206" i="8"/>
  <c r="C207" i="8"/>
  <c r="C208" i="8"/>
  <c r="C210" i="8"/>
  <c r="C211" i="8"/>
  <c r="C212" i="8"/>
  <c r="C213" i="8"/>
  <c r="C214" i="8"/>
  <c r="C215" i="8"/>
  <c r="C197" i="8"/>
  <c r="C198" i="8"/>
  <c r="C196" i="8"/>
  <c r="C199" i="8"/>
  <c r="C200" i="8"/>
  <c r="C154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C195" i="8"/>
  <c r="C194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C136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CH6" i="8"/>
  <c r="CH7" i="8"/>
  <c r="CH8" i="8"/>
  <c r="CH9" i="8"/>
  <c r="CH10" i="8"/>
  <c r="CH11" i="8"/>
  <c r="CH12" i="8" s="1"/>
  <c r="CH13" i="8" s="1"/>
  <c r="CH14" i="8" s="1"/>
  <c r="CH15" i="8" s="1"/>
  <c r="CH16" i="8" s="1"/>
  <c r="CH17" i="8" s="1"/>
  <c r="CH18" i="8" s="1"/>
  <c r="CH19" i="8" s="1"/>
  <c r="CH20" i="8" s="1"/>
  <c r="CH21" i="8" s="1"/>
  <c r="CH22" i="8" s="1"/>
  <c r="CH23" i="8" s="1"/>
  <c r="CH24" i="8" s="1"/>
  <c r="CH25" i="8" s="1"/>
  <c r="CH26" i="8" s="1"/>
  <c r="CH27" i="8" s="1"/>
  <c r="CH28" i="8" s="1"/>
  <c r="CH29" i="8" s="1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AK4" i="8"/>
  <c r="AL4" i="8"/>
  <c r="AM4" i="8"/>
  <c r="AN4" i="8"/>
  <c r="AO4" i="8"/>
  <c r="AP4" i="8"/>
  <c r="AQ4" i="8"/>
  <c r="AR4" i="8"/>
  <c r="AS4" i="8"/>
  <c r="AT4" i="8"/>
  <c r="AU4" i="8"/>
  <c r="AV4" i="8"/>
  <c r="AW4" i="8"/>
  <c r="AX4" i="8"/>
  <c r="AY4" i="8"/>
  <c r="AZ4" i="8"/>
  <c r="BA4" i="8"/>
  <c r="BB4" i="8"/>
  <c r="BC4" i="8"/>
  <c r="BD4" i="8"/>
  <c r="BE4" i="8"/>
  <c r="BF4" i="8"/>
  <c r="BG4" i="8"/>
  <c r="BH4" i="8"/>
  <c r="BI4" i="8"/>
  <c r="BJ4" i="8"/>
  <c r="BK4" i="8"/>
  <c r="BL4" i="8"/>
  <c r="BM4" i="8"/>
  <c r="BN4" i="8"/>
  <c r="BO4" i="8"/>
  <c r="BP4" i="8"/>
  <c r="BQ4" i="8"/>
  <c r="BR4" i="8"/>
  <c r="BS4" i="8"/>
  <c r="BT4" i="8"/>
  <c r="BU4" i="8"/>
  <c r="BV4" i="8"/>
  <c r="BW4" i="8"/>
  <c r="BX4" i="8"/>
  <c r="BY4" i="8"/>
  <c r="BZ4" i="8"/>
  <c r="CA4" i="8"/>
  <c r="CB4" i="8"/>
  <c r="CC4" i="8"/>
  <c r="CD4" i="8"/>
  <c r="CE4" i="8"/>
  <c r="CF4" i="8"/>
</calcChain>
</file>

<file path=xl/sharedStrings.xml><?xml version="1.0" encoding="utf-8"?>
<sst xmlns="http://schemas.openxmlformats.org/spreadsheetml/2006/main" count="1011" uniqueCount="410">
  <si>
    <t>Matriks Penggunaan Bahan Dalam Produk (bisa dalam bentuk lampiran)</t>
  </si>
  <si>
    <t>No.</t>
  </si>
  <si>
    <t>Nama Bahan</t>
  </si>
  <si>
    <t>Produk</t>
  </si>
  <si>
    <t>Keterangan</t>
  </si>
  <si>
    <t>VEGETABLE MARGARINE FOR PROFESSIONAL USE - MAXIME GIOIA SPECIAL</t>
  </si>
  <si>
    <t>COCOA POWDER</t>
  </si>
  <si>
    <t>SPREADABLE CREAM FOR PROFESSIONAL USE - DELICE ANTE-FORNO HAZELNUT</t>
  </si>
  <si>
    <t>HIME</t>
  </si>
  <si>
    <t>DOUBLE ZERO</t>
  </si>
  <si>
    <t>Ninja</t>
  </si>
  <si>
    <t>CURY SPICE MIX (CURY POWDER)</t>
  </si>
  <si>
    <t>GULA CASTER (CAP BINTANG)</t>
  </si>
  <si>
    <t>Tuna In Oil, KING'S FISHER</t>
  </si>
  <si>
    <t>ANGEL INSTANT DRY YEAST</t>
  </si>
  <si>
    <t>BORGES EXTRA LIGHT OLIVE OIL</t>
  </si>
  <si>
    <t>UNIGRAIN - ROLLED OATS / QUICK OATS / INSTANT OATS (INCLUDING ORGANIC)</t>
  </si>
  <si>
    <t>GREEN VALLEY SHREDDED J-PIZZA CHEESE</t>
  </si>
  <si>
    <t>AN BUTTER</t>
  </si>
  <si>
    <t>LBR (15KG) MARGARINE</t>
  </si>
  <si>
    <t>ADEKA SPS-IDN COOKING OIL</t>
  </si>
  <si>
    <t>PANDAN MUNGBEAN PASTE</t>
  </si>
  <si>
    <t>MARIANI SWEETENED DRIED CRANBERRIES</t>
  </si>
  <si>
    <t>TOMAT AKU SAUCE (SAUS)</t>
  </si>
  <si>
    <t>KIKKOMAN KECAP ASIN KHAS JEPANG / ALL PURPOSE SOY SAUCE</t>
  </si>
  <si>
    <t>FLOUR PASTE - ADEKA FILLING SHEET (HONEY)</t>
  </si>
  <si>
    <t>FLOUR PASTE - ADEKA FILLING SHEET (PANDAN KAYA)</t>
  </si>
  <si>
    <t>FLOUR PASTE - ADEKA FILLING SHEET (CARAMEL TASTE)</t>
  </si>
  <si>
    <t>FLOUR PASTE - ADEKA FILLING SHEET (CHOCO) V</t>
  </si>
  <si>
    <t>FLOUR PASTE - ADEKA FILLING SHEET (CUSTARD) V</t>
  </si>
  <si>
    <t>KISMIS MARYGOLD SEELECT</t>
  </si>
  <si>
    <t>SUSU BUBUK HAPPY COW PREMIUM</t>
  </si>
  <si>
    <t xml:space="preserve">FINE BRAN / WHEAT BRAN  </t>
  </si>
  <si>
    <t>MORIN PEANUT BUTTER</t>
  </si>
  <si>
    <t>Morin Srikaya Paste</t>
  </si>
  <si>
    <t>BLANCHED ALMONDS (SLICED)</t>
  </si>
  <si>
    <t>Sunflower Seeds/KERNEL</t>
  </si>
  <si>
    <t>O-MAYO SAKURA</t>
  </si>
  <si>
    <t>CHEESE NEUFCHATEL - TATURA</t>
  </si>
  <si>
    <t>BAVARI FRANKFURTER CHICKEN</t>
  </si>
  <si>
    <t>UHT MILK FULL CREAM SLEEVE (DIAMOND)</t>
  </si>
  <si>
    <t>BEGA BUTTER UNSALTED</t>
  </si>
  <si>
    <t>GREENFIELDS WHIPPING CREAM (FULL DAIRY) 1 LT</t>
  </si>
  <si>
    <t>PROCHIZ CHEDDAR</t>
  </si>
  <si>
    <t>KANEKA FILLING BANANA SP GM</t>
  </si>
  <si>
    <t>TULIP MASTERDECOR DARK COMPOUND CHOCOLATE</t>
  </si>
  <si>
    <t>TULIP CHOCOLATIER DARK COMPOUND CHOCOLATE BATONS</t>
  </si>
  <si>
    <t>TULIP CHOCO RICE COMPOUND DARK 5</t>
  </si>
  <si>
    <t>DAGING SAPI ASAP (SMOKED BEEF) EL PRIMO</t>
  </si>
  <si>
    <t>BOLA DELI GULA HALUS</t>
  </si>
  <si>
    <t>BAKER'S BONUS A</t>
  </si>
  <si>
    <t>Frisian Flag Susu Kental Manis Gold</t>
  </si>
  <si>
    <t>Knorr Chicken Seasoning Powder</t>
  </si>
  <si>
    <t>MAIZENAKU</t>
  </si>
  <si>
    <t>JAVARA BALI ARTISAN SALT FLEUR DE SEL</t>
  </si>
  <si>
    <t>Lada Hitam Bubuk</t>
  </si>
  <si>
    <t>Cinnamon powder</t>
  </si>
  <si>
    <t>GALIC POWDER</t>
  </si>
  <si>
    <t>KACANG MERAH MENTAH</t>
  </si>
  <si>
    <t xml:space="preserve">Aqua </t>
  </si>
  <si>
    <t>Sunny Choice Premium</t>
  </si>
  <si>
    <r>
      <rPr>
        <i/>
        <sz val="9"/>
        <color theme="1"/>
        <rFont val="Arial"/>
        <family val="2"/>
      </rPr>
      <t>*) beri tanda (</t>
    </r>
    <r>
      <rPr>
        <i/>
        <sz val="9"/>
        <color theme="1"/>
        <rFont val="Wingdings 2"/>
        <family val="1"/>
        <charset val="2"/>
      </rPr>
      <t>P</t>
    </r>
    <r>
      <rPr>
        <i/>
        <sz val="9"/>
        <color theme="1"/>
        <rFont val="Arial"/>
        <family val="2"/>
      </rPr>
      <t>) pada produk sesuai bahan yang digunakan</t>
    </r>
  </si>
  <si>
    <t>Daftar Nama Bahan (bisa dalam bentuk lampiran)</t>
  </si>
  <si>
    <t>Nama</t>
  </si>
  <si>
    <t>Jenis Bahan *)</t>
  </si>
  <si>
    <t>Produsen</t>
  </si>
  <si>
    <t>Negara</t>
  </si>
  <si>
    <t>Supplier</t>
  </si>
  <si>
    <t>Lembaga Penerbit Sertifikat Halal</t>
  </si>
  <si>
    <t>Nomor Sertifikat Halal</t>
  </si>
  <si>
    <t>Masa Berlaku Sertifikat Halal</t>
  </si>
  <si>
    <t>Dokumen Pendukung</t>
  </si>
  <si>
    <t>BB</t>
  </si>
  <si>
    <t>BT</t>
  </si>
  <si>
    <t>BP</t>
  </si>
  <si>
    <t>x</t>
  </si>
  <si>
    <t>UNIGRA FOOD PROCESSING ASIA PACIFIC SDN BHD</t>
  </si>
  <si>
    <t>Malaysia</t>
  </si>
  <si>
    <t>PT. DELISARI NUSANTARA</t>
  </si>
  <si>
    <t>BARRY CALLEBAUT MANUFACTURING MALAYSIA SDN BHD</t>
  </si>
  <si>
    <t>JAKIM.700/2/3/1 018-09/2003</t>
  </si>
  <si>
    <t>PT. SRIBOGA FLOUR MILL</t>
  </si>
  <si>
    <t>Indonesia</t>
  </si>
  <si>
    <t>BPJPH</t>
  </si>
  <si>
    <t>ID00410000223520321</t>
  </si>
  <si>
    <t>PT. JAYA AGRITECH</t>
  </si>
  <si>
    <t>ID0041000011770820</t>
  </si>
  <si>
    <t>PT. MAKMUR SEJATI INTERNUSA</t>
  </si>
  <si>
    <t>ID00310000254120522</t>
  </si>
  <si>
    <t>PT. BALI MAYA PERMAI FOOD CANNING INDUSTRY</t>
  </si>
  <si>
    <t>ID51410000201960820</t>
  </si>
  <si>
    <t>ANGEL YEAST (CHONGZUO) CO., LTD</t>
  </si>
  <si>
    <t>China</t>
  </si>
  <si>
    <t>PT. PRAMBANAN KENCANA</t>
  </si>
  <si>
    <t>ID00410001341630123</t>
  </si>
  <si>
    <t>UNIGRAIN PTY LTD</t>
  </si>
  <si>
    <t>Australia</t>
  </si>
  <si>
    <t>0027UPLWAG12024C</t>
  </si>
  <si>
    <t>PT. PACIFIC LACTO JAYA</t>
  </si>
  <si>
    <t>ID00410000079460521</t>
  </si>
  <si>
    <t>ADEKA FOODS (ASIA) SDN.BHD.</t>
  </si>
  <si>
    <t>JAKIM.700-2/3/1 001-07/2014</t>
  </si>
  <si>
    <t>YU AI FOOD INDUSTRIES SDN BHD</t>
  </si>
  <si>
    <t>JAKIM.700-2/3/1 031-07/2007</t>
  </si>
  <si>
    <t>MARIANI PACKING COMPANY</t>
  </si>
  <si>
    <t>USA</t>
  </si>
  <si>
    <t xml:space="preserve">PT. ARTHA KARYA UTAMA </t>
  </si>
  <si>
    <t>ID00410000285960722</t>
  </si>
  <si>
    <t>PT. KIKKOMAN AKUFOOD INDONESIA</t>
  </si>
  <si>
    <t>ID00310000465720922</t>
  </si>
  <si>
    <t>ADEKA (SINGAPORE)PTE LTD</t>
  </si>
  <si>
    <t>Singapura</t>
  </si>
  <si>
    <t>PT. GALA LAKSANA KREASI</t>
  </si>
  <si>
    <t>PRN22020011874</t>
  </si>
  <si>
    <t>CV MITRA NIAGA</t>
  </si>
  <si>
    <t>ID35210000034230920</t>
  </si>
  <si>
    <t>ID35110001889751122</t>
  </si>
  <si>
    <t>PT. HAKIKI DONARTA</t>
  </si>
  <si>
    <t>Halal Positive</t>
  </si>
  <si>
    <t>PT. ASTAGUNA WISESA</t>
  </si>
  <si>
    <t>ID00410000137370821</t>
  </si>
  <si>
    <t>BLUE DIAMOND GROWERS</t>
  </si>
  <si>
    <t>PT. EKACITTA DIAN PERTIWI</t>
  </si>
  <si>
    <t>PT. INTAN KENKOMAYO INDONESIA</t>
  </si>
  <si>
    <t>ID00410000092370321</t>
  </si>
  <si>
    <t>X</t>
  </si>
  <si>
    <t>Tatura Milk Industries Limited (TATURA)</t>
  </si>
  <si>
    <t>Sukandha Djaya</t>
  </si>
  <si>
    <t>?</t>
  </si>
  <si>
    <t>PT. NHF DIAMOND INDONESIA</t>
  </si>
  <si>
    <t>ID00410000409850922</t>
  </si>
  <si>
    <t>PT. DIAMOND COLD STORAGE</t>
  </si>
  <si>
    <t>ID00110000172730921</t>
  </si>
  <si>
    <t>PT. GREENFIELDS INDONESIA</t>
  </si>
  <si>
    <t>ID00410000011211119</t>
  </si>
  <si>
    <t>PT. Mulia Boga Raya, Tbk.</t>
  </si>
  <si>
    <t>ID00310000086671119</t>
  </si>
  <si>
    <t>PT. KANEKA FOODS INDONESIA</t>
  </si>
  <si>
    <t>ID00410001293081122</t>
  </si>
  <si>
    <t>PT. CERES</t>
  </si>
  <si>
    <t>ID00310000201531021</t>
  </si>
  <si>
    <t>PT. FREYABADI INDOTAMA</t>
  </si>
  <si>
    <t>PT. Indokulina Sarana Utama</t>
  </si>
  <si>
    <t>PT. INDOGUNA UTAMA</t>
  </si>
  <si>
    <t>ID00310000171100820</t>
  </si>
  <si>
    <t>PT. PERMATA FOOD INDONESIA</t>
  </si>
  <si>
    <t>ID00410000481400522</t>
  </si>
  <si>
    <t>PT. SAF INDONUSA</t>
  </si>
  <si>
    <t>ID00310000201910321</t>
  </si>
  <si>
    <t>PT. Frisian Flag Indonesia</t>
  </si>
  <si>
    <t>CV. Senang hati</t>
  </si>
  <si>
    <t>ID00310000153301021</t>
  </si>
  <si>
    <t>15-Nov-21</t>
  </si>
  <si>
    <t>UNILEVER INDONESIA</t>
  </si>
  <si>
    <t>ID00410000009221219</t>
  </si>
  <si>
    <t>PT. EGA MULTI CIPTA</t>
  </si>
  <si>
    <t>ID00210000256160322</t>
  </si>
  <si>
    <t>PT. KAMPUNG KEARIFAN INDONESIA</t>
  </si>
  <si>
    <t>ID00310010296600222</t>
  </si>
  <si>
    <t>PT. GUNACIPTA MULTIRASA</t>
  </si>
  <si>
    <t>PT. ANGGANA</t>
  </si>
  <si>
    <t>BERKAT PARTINDO ABADI</t>
  </si>
  <si>
    <t>PT. TIRTA INVESTAMA</t>
  </si>
  <si>
    <t>ID00410000009301219</t>
  </si>
  <si>
    <t>21-Agt-30</t>
  </si>
  <si>
    <t>CV. AGRO SARI</t>
  </si>
  <si>
    <t>CV AGRO SARI</t>
  </si>
  <si>
    <t>ID33210000238680422</t>
  </si>
  <si>
    <t>*) (BB) bahan baku/ (BT) bahan tambahan / (BP) bahan penolong</t>
  </si>
  <si>
    <t>PETUNJUK PENGISIAN FORMULIR PERMOHONAN SERTIFIKAT HALAL</t>
  </si>
  <si>
    <t>MAKANAN, MINUMAN, OBAT, DAN KOSMETIK</t>
  </si>
  <si>
    <t>Nomor Pendaftaran</t>
  </si>
  <si>
    <t>:</t>
  </si>
  <si>
    <t>diisi oleh Petugas.</t>
  </si>
  <si>
    <t>Tanggal Pendaftaran</t>
  </si>
  <si>
    <t>Status Pendaftaran</t>
  </si>
  <si>
    <t>dipilih dengan tanda silang (x) pada kotak yang sesuai (baru/pembaruan).</t>
  </si>
  <si>
    <t>Data Pelaku Usaha</t>
  </si>
  <si>
    <t>Nama Perusahaan: diisi dengan nama perusahaan/ pelaku usaha yang mengajukan sertifikasi halal.</t>
  </si>
  <si>
    <t xml:space="preserve">Alamat: diisi dengan alamat perusahaan/ pelaku usaha.  </t>
  </si>
  <si>
    <t>Kab/Kota: diisi dengan nama kab/ kota yang sesuai dengan alamat perusahaan / pelaku usaha.</t>
  </si>
  <si>
    <t>Provinsi: diisi dengan nama provinsi yang sesuai dengan alamat perusahaan/ pelaku usaha.</t>
  </si>
  <si>
    <t>Negara: diisi dengan nama negara yang sesuai alamat perusahaan/ pelaku usaha.</t>
  </si>
  <si>
    <t>Kode Pos: diisi dengan nomor kode pos yang sesuai dengan alamat perusahaan/ pelaku usaha.</t>
  </si>
  <si>
    <t>Telepon: diisi dengan nomor telepon perusahaan/ pelaku usaha.</t>
  </si>
  <si>
    <t>E-mail: diisi dengan alamat e-mail perusahaan/ pelaku usaha.</t>
  </si>
  <si>
    <t>Jenis Badan Usaha: dipilih dengan tanda silang (x) pada kotak yang sesuai dengan jenis badan usaha perusahaan/ pelaku usaha  (PT/CV/PD/UD/Koperasi/Perorangan/Lainnya).</t>
  </si>
  <si>
    <t>Skala Usaha: dipilih dengan tanda silang (x) pada kotak yang sesuai dengan skala usaha perusahaan/ pelaku usaha  (Mikro/ Kecil/ Menengah/ Besar).</t>
  </si>
  <si>
    <t xml:space="preserve">Alamat Pabrik: diisi dengan alamat pabrik sebagai tempat produksi. </t>
  </si>
  <si>
    <t>Status Pabrik: dipilih dengan tanda silang (x) pada kotak yang sesuai dengan status pabrik (milik sendiri/ maklon/ lainnya).</t>
  </si>
  <si>
    <t>Pimpinan Perusahaan</t>
  </si>
  <si>
    <t>Nama: diisi dengan nama pimpinan perusahaan/ pelaku usaha.</t>
  </si>
  <si>
    <t>Jabatan: diisi dengan jabatan pimpinan perusahaan/ pelaku usaha.</t>
  </si>
  <si>
    <t>Nomor Kontak: diisi dengan nomor kontak pimpinan perusahaan/ pelaku usaha.</t>
  </si>
  <si>
    <t>E-mail: diisi dengan alamat e-mail pimpinan perusahaan/ pelaku usaha.</t>
  </si>
  <si>
    <t>Penanggung Jawab</t>
  </si>
  <si>
    <t>Nama: diisi dengan personil yang ditunjuk perusahaan/pelaku usaha untuk berkomunikasi dengan BPJPH.</t>
  </si>
  <si>
    <t>Jabatan: diisi dengan nama jabatan penanggung jawab.</t>
  </si>
  <si>
    <t>Nomor Kontak: diisi dengan nomor kontak penanggung jawab.</t>
  </si>
  <si>
    <t>E-mail: diisi dengan alamat e-mail penanggung jawab.</t>
  </si>
  <si>
    <t>Aspek Legal</t>
  </si>
  <si>
    <t>Jenis Surat: diisi dengan jenis surat izin usaha. Jika sudah memiliki NIB, maka dokumen lainnya tidak diperlukan.</t>
  </si>
  <si>
    <t>Nomor Surat: diisi dengan nomor sesuai surat izin usaha yang dimiliki oleh perusahaan/ pelaku usaha.</t>
  </si>
  <si>
    <t>Tanggal Surat: diisi dengan tanggal diterbitkannya surat izin usaha yang dimiliki oleh perusahaan/ pelaku usaha.</t>
  </si>
  <si>
    <t>Masa Berlaku: diisi dengan masa berlaku surat izin usaha yang dimiliki oleh perusahaan/ pelaku usaha.</t>
  </si>
  <si>
    <t>Instansi Penerbit: diisi dengan nama instansi penerbit surat izin usaha yang dimiliki oleh perusahaan/ pelaku usaha.</t>
  </si>
  <si>
    <t>Penyelia Halal</t>
  </si>
  <si>
    <t>Nama: diisi dengan nama penyelia halal yang tercantum dalam surat keputusan penetapan penyelia halal.</t>
  </si>
  <si>
    <t>Nomor KTP: diisi dengan nomor KTP penyelia halal.</t>
  </si>
  <si>
    <t xml:space="preserve">Nomor Sertifikat Penyelia Halal: diisi dengan nomor sertifikat penyelia halal. </t>
  </si>
  <si>
    <t xml:space="preserve">Nomor dan Tanggal SK: diisi dengan nomor dan tanggal surat keputusan penetapan penyelia halal. </t>
  </si>
  <si>
    <t>Nomor Kontak: diisi dengan nomor kontak penyelia halal.</t>
  </si>
  <si>
    <t>Kelompok Usaha</t>
  </si>
  <si>
    <t xml:space="preserve">Kelompok Usaha: diisi dengan nama jenis produk yang sesuai produk yang diajukan permohonan sertifikat halalnya. </t>
  </si>
  <si>
    <t>Merk Dagang: diisi dengan nama merk dagang produk yang diajukan permohonan sertifikat halalnya.</t>
  </si>
  <si>
    <t>Area Pemasaran: dipilih dengan tanda silang (x) pada kotak yang sesuai dengan area pemasaran produk yang diajukan permohonan sertifikat halalnya, yaitu lokal/ nasional / internasional.</t>
  </si>
  <si>
    <t>Izin Edar: diisi dengan nomor izin edar produk yang diajukan permohonan sertifikat halalnya, yang diterbitkan oleh lembaga/ dinas terkait.</t>
  </si>
  <si>
    <t>Daftar Produk</t>
  </si>
  <si>
    <t>Nama Produk: diisi dengan nama produk yang diajukan permohonan sertifikat halalnya.</t>
  </si>
  <si>
    <t xml:space="preserve">Tidak dipublikasikan?: diberi tanda centang (✓) pada kolom (tidak dipublikasikan?), jika nama produk tidak ingin dipublikasikan ke masyarakat. </t>
  </si>
  <si>
    <t>Nama Bahan: diisi dengan nama bahan yang digunakan dalam produksi.</t>
  </si>
  <si>
    <t>Nama: diisi dengan nama bahan yang digunakan dalam proses produksi.</t>
  </si>
  <si>
    <t>Jenis Bahan: diisi dengan nama jenis bahan yang digunakan dalam proses produksi (bahan baku/ bahan tambahan/ bahan penolong).</t>
  </si>
  <si>
    <t>Produsen: diisi dengan nama produsen yang memproduksi bahan.</t>
  </si>
  <si>
    <t>Negara: diisi dengan nama negara produsen yang memproduksi bahan.</t>
  </si>
  <si>
    <t xml:space="preserve">Supplier: diisi dengan nama perusahaan pemasok bahan. </t>
  </si>
  <si>
    <t xml:space="preserve">Lembaga Penerbitan Sertifikat Halal: diisi dengan nama lembaga penerbit sertifikat halal. </t>
  </si>
  <si>
    <t xml:space="preserve">Nomor Sertifikat Halal: diisi dengan nomor sertifikat halal bahan yang digunakan. </t>
  </si>
  <si>
    <t>Masa Berlaku Sertifikat Halal: diisi dengan masa berlaku sertifikat halal yang digunakan.</t>
  </si>
  <si>
    <t xml:space="preserve">Dokumen Pendukung: diisi dengan informasi dokumen pendukung lainnya yang menyatakan bahwa bahan dimaksud halal, jika bahan yang digunakan tidak dibuktikan dengan sertifikat halal. </t>
  </si>
  <si>
    <t>HALAL CERTIFICATE</t>
  </si>
  <si>
    <t>REG RI HL SG000016773724</t>
  </si>
  <si>
    <t>PT. SINAR NIAGA SEJAHTERA</t>
  </si>
  <si>
    <t>TIDAK PERLU PERPANJANG</t>
  </si>
  <si>
    <t>PT. CITRA PANGAN PRIMA</t>
  </si>
  <si>
    <t>PRIMA MAKMUR LANGGENG PERKASA</t>
  </si>
  <si>
    <t>FKS PANGAN NUSANTARA</t>
  </si>
  <si>
    <t>PT. TRISARANA USAHA LANGGENG</t>
  </si>
  <si>
    <t>ID00410020338860824</t>
  </si>
  <si>
    <t>BORGES</t>
  </si>
  <si>
    <t>REG RI HL MY000004210124</t>
  </si>
  <si>
    <t>ATHENA BAKING POWDER</t>
  </si>
  <si>
    <t>PT. SEELINDO SEJAHTERATAMA</t>
  </si>
  <si>
    <t>INDONESIA</t>
  </si>
  <si>
    <t>PT. ZEELANDIA INDONESIA</t>
  </si>
  <si>
    <t>ID00410000008180120</t>
  </si>
  <si>
    <t xml:space="preserve">CARLO </t>
  </si>
  <si>
    <t>HANGJINHOUQI CHANGSHI FOOD CO.,LTD</t>
  </si>
  <si>
    <t>DOC NO BLU.1565.M.240019.US</t>
  </si>
  <si>
    <t>CER NO SSPY-201318-33512-R1</t>
  </si>
  <si>
    <t>5991.12630.II250112</t>
  </si>
  <si>
    <t>GARAM INDUSTRI MEREK G.I.L.I</t>
  </si>
  <si>
    <t>PT. ARTHA GARAM INDONESIA</t>
  </si>
  <si>
    <t>ID00210000120950621</t>
  </si>
  <si>
    <t>GRACELAND DRIED CRANBERRIES</t>
  </si>
  <si>
    <t>PT. PRAMBANAN INDONESIA</t>
  </si>
  <si>
    <t>GRACELAND FRUIT</t>
  </si>
  <si>
    <t>7387.12437.II250027</t>
  </si>
  <si>
    <t>VIENNA Daging Ayam Asap ( SMOKED CHICKEN )</t>
  </si>
  <si>
    <t>UD. WITIGNA PANGAN SEJAHTERA</t>
  </si>
  <si>
    <t>VIENNA MEATFISH</t>
  </si>
  <si>
    <t>ID33110000203801021</t>
  </si>
  <si>
    <t>VIENNA Daging Sapi Asap (SMOKE BEEF)</t>
  </si>
  <si>
    <t>VIENNA Sosis Sapi (Beef Coctail)</t>
  </si>
  <si>
    <t>VIENNA Sosis Ayam</t>
  </si>
  <si>
    <t>FLOUR PASTE - ADEKA FILLING SHEET (CHOCO) 1.2K</t>
  </si>
  <si>
    <t xml:space="preserve">FLOUR PASTE - ADEKA FILLING SHEET (CUSTARD) </t>
  </si>
  <si>
    <t>FLOUR PASTE - ADEKA FILLING SHEET (COFFEE)</t>
  </si>
  <si>
    <t>FLOUR PASTE - ADEKA FILLING SHEET (CHEESE SAVORY) 1.2K</t>
  </si>
  <si>
    <t>FLOUR PASTE - ADEKA FILLING SHEET (BLUEBERRY) 1.2K</t>
  </si>
  <si>
    <t>MATCHA</t>
  </si>
  <si>
    <t>BLANCHED ALMONDS (CONVENTIONAL/ ORGANIC)</t>
  </si>
  <si>
    <t>Japan</t>
  </si>
  <si>
    <t>NIPPON ASIA HALAL ASSOCIATION</t>
  </si>
  <si>
    <t>F190108-1-MTP</t>
  </si>
  <si>
    <t>HCA 159-2/INDONESIA</t>
  </si>
  <si>
    <t>VIETNAM</t>
  </si>
  <si>
    <t>OLAM VIET NAM COMPANY</t>
  </si>
  <si>
    <t>PT. HOUSE AND VOX INDONESIA</t>
  </si>
  <si>
    <t>House Kari Ala Jepang Saus Padat ( Curry Roux )</t>
  </si>
  <si>
    <t>House Kari Ala Jepang (Spicy) Japanese Curry</t>
  </si>
  <si>
    <t>BLUEBERRY SPREAD AND FILLING (OLESAN DAN ISIAN BLUEBERRY</t>
  </si>
  <si>
    <t>PINEAPPLE SPREAD AND FILLING (OLESAN DAN ISIAN NANAS</t>
  </si>
  <si>
    <t>STRAWBERRY SWEET SAUCE (SAUS MANIS STROBERI)</t>
  </si>
  <si>
    <t>TIRAMISU FLAVOR GLAZE (PELAPIS RASA TIRAMISU)</t>
  </si>
  <si>
    <t>MILK GLAZE (PELAPIS SUSU)</t>
  </si>
  <si>
    <t>SHEET-CTD-CHOCOLATE_PRM</t>
  </si>
  <si>
    <t>SHEET-CTD-CHEESE</t>
  </si>
  <si>
    <t>SHEET-CTD-PANDAN FLAVOR</t>
  </si>
  <si>
    <t>SHEET-CTD - MATCHA PRM</t>
  </si>
  <si>
    <t>SHEET-CTD-TARO FLAVOR</t>
  </si>
  <si>
    <t>SHEET-CTD-STRAWBERRY FLAVOR</t>
  </si>
  <si>
    <t>PT.SONTON FOOD INDONESIA</t>
  </si>
  <si>
    <t>ID00410000114480721</t>
  </si>
  <si>
    <t>ROLLED OATS</t>
  </si>
  <si>
    <t>BLUE LAKE MILLING PTY LTD</t>
  </si>
  <si>
    <t>AUSTRALIA</t>
  </si>
  <si>
    <t>PT. SHINRAI INDONESIA</t>
  </si>
  <si>
    <t>REG RI HL AU00029892025</t>
  </si>
  <si>
    <t>021BLMPLFWA12024C</t>
  </si>
  <si>
    <t>IQF 3-WAYS MIXED VEGETABLE FROZEN VEGETABLE ( SAYURAN BEKU )</t>
  </si>
  <si>
    <t>IQF SWEET CORN KERNEL FROZEN VEGETABLE ( SAYURAN BEKU )</t>
  </si>
  <si>
    <t>IQF SWEET DICED CARROT FROZEN VEGETABLE ( SAYURAN BEKU )</t>
  </si>
  <si>
    <t>HEBEI DINGCHEN AGRICULTURAL GROUP CO LTD</t>
  </si>
  <si>
    <t>CHINA</t>
  </si>
  <si>
    <t>PT. SUKANDA DJAYA</t>
  </si>
  <si>
    <t>LPPOM - 00190105460720</t>
  </si>
  <si>
    <t>KANEKA MARGARINE SHEET 25 G</t>
  </si>
  <si>
    <t>KANEKA WHIPPING CREAM C Z GM 2</t>
  </si>
  <si>
    <t>KANEKA MARGARINE 25 G 3</t>
  </si>
  <si>
    <t>ID00410000606790822</t>
  </si>
  <si>
    <t>BEEF FRANK SAUSAGE CATER</t>
  </si>
  <si>
    <t>MORIN KACANG TANAH GILING KASAR (NUT DONUT,SMALL NUTDONUT, NOUGAT)</t>
  </si>
  <si>
    <t>SPICY MAYO</t>
  </si>
  <si>
    <t>MUI</t>
  </si>
  <si>
    <t>PT. SOEJASCH BALI</t>
  </si>
  <si>
    <t>ID00310000135251220</t>
  </si>
  <si>
    <t>ID00410000226921021</t>
  </si>
  <si>
    <t>PT. KEWPIE INDONESIA</t>
  </si>
  <si>
    <t>KEWPIE COOKING SAUCE MENTAI MAYO</t>
  </si>
  <si>
    <t>AUTHENTICA ' SUPER POLPA FINE DI POMODORO IN PUREA DI POMODORO 'AUTHENTICA' SUPER PELEED CRUSHED TOMATOES IN TOMATO PUREE</t>
  </si>
  <si>
    <t>IT11311300284</t>
  </si>
  <si>
    <t>ITALY</t>
  </si>
  <si>
    <t>COMPAGNIA MERCANTILE D'OLTRE MARE</t>
  </si>
  <si>
    <t>PT. ERAMAS AGRI INTERNASIONAL</t>
  </si>
  <si>
    <t>DAGING AYAM</t>
  </si>
  <si>
    <t>RUMAH POTONG HEWAN</t>
  </si>
  <si>
    <t>PT. CIBADAK INDAH SARI FARM</t>
  </si>
  <si>
    <t>ID36420000179761220</t>
  </si>
  <si>
    <t>DIAMOND - SUSU UHT RASA PLAIN (ALL PURPOSE MILK)</t>
  </si>
  <si>
    <t>ID00410001289260722</t>
  </si>
  <si>
    <t>ERA MAX WIJEN HITAM</t>
  </si>
  <si>
    <t>ERA MAX WIJEN PUTIH</t>
  </si>
  <si>
    <t>ID31110017707171223</t>
  </si>
  <si>
    <t>MAX ALMOND ALMOND SLICE</t>
  </si>
  <si>
    <t>ID00410002100330223</t>
  </si>
  <si>
    <t>ID00410001317920822</t>
  </si>
  <si>
    <t>ID00410001331970422</t>
  </si>
  <si>
    <t>SEMIFINISHED COCOA PRODUCT - SHINE DARK/S BUTTONS</t>
  </si>
  <si>
    <t>CONCENTRATO DI POMODORO TOMATO PASTE SAPORITO</t>
  </si>
  <si>
    <t>UD AMINDO</t>
  </si>
  <si>
    <t>HIA-2025-1211-1602843497</t>
  </si>
  <si>
    <t>CONSAR SPA</t>
  </si>
  <si>
    <t>REG RI HL SG000058203725</t>
  </si>
  <si>
    <t>REG RI HL JP000034346725</t>
  </si>
  <si>
    <t>ID00410019440950824</t>
  </si>
  <si>
    <t>SWEET CHICKEN FLOSS / SERUNDING AYAM MANIS</t>
  </si>
  <si>
    <t>PT. TEHMAG FODDS INDONESIA</t>
  </si>
  <si>
    <t>MALAYSIA</t>
  </si>
  <si>
    <t>THE FOODIE HUB SDN. BHD</t>
  </si>
  <si>
    <t>JAKIM.700-2/3/1 039-01/2017</t>
  </si>
  <si>
    <t>WHITE BEAN PASTE</t>
  </si>
  <si>
    <t>SWEETENED RED BEAN</t>
  </si>
  <si>
    <t>MIXED SWEETENED BEAN</t>
  </si>
  <si>
    <t>1100/01050</t>
  </si>
  <si>
    <t>BEIJING KYO - NICHI TODAI FOODS CO.,LTD</t>
  </si>
  <si>
    <t>MALA CHCHIKEN FLOSS (MCF)(SERUNDING AYAM MALA (MCF))</t>
  </si>
  <si>
    <t>PT. GOLDEN SARI FOOD</t>
  </si>
  <si>
    <t>ID00410024549220725</t>
  </si>
  <si>
    <t>PASTA TALAS</t>
  </si>
  <si>
    <t>PURPLE SWEET POTATO POWDER</t>
  </si>
  <si>
    <t>TEHMAG FOODS CORPORATION SDN BHD</t>
  </si>
  <si>
    <t>JAKIM.700-2/3/1 212 -03/2019</t>
  </si>
  <si>
    <t>TATUA WHIPPING CREAM</t>
  </si>
  <si>
    <t>SAPUTO CREAM CHEESE</t>
  </si>
  <si>
    <t>PT. ANTA TIRTA KIRANA</t>
  </si>
  <si>
    <t>NEW ZEALAND</t>
  </si>
  <si>
    <t>JD 108-1/2023</t>
  </si>
  <si>
    <t>20195790/AHAA/SAP</t>
  </si>
  <si>
    <t>THE TATUA CO-OPERATIVE DAIRY COMPANY LIMITED</t>
  </si>
  <si>
    <t>SAPUTO DAIRY AUSTRALIA PTY.LTD</t>
  </si>
  <si>
    <t>HOJICHA POWDER DARK</t>
  </si>
  <si>
    <t>CHICKEN YAKI CURRY</t>
  </si>
  <si>
    <t>CHICKEN CURRY PAN</t>
  </si>
  <si>
    <t>SAUSAGE CURRY WITH CHEESE</t>
  </si>
  <si>
    <t>MIXED VEGGIE CURRY PAN</t>
  </si>
  <si>
    <t xml:space="preserve">CRANBERRY CREAM CHEESE </t>
  </si>
  <si>
    <t xml:space="preserve">CRANBERRY AND CHEESE </t>
  </si>
  <si>
    <t>WALNUT FLOWER</t>
  </si>
  <si>
    <t>WALNUT RED BEAN STICK</t>
  </si>
  <si>
    <t>WALNUT BUTTER STICK</t>
  </si>
  <si>
    <t>SMOKED BEEF PANINI</t>
  </si>
  <si>
    <t>RAISIN BUTTER STICK</t>
  </si>
  <si>
    <t>SHIO BUTTER SMOKED BEEF</t>
  </si>
  <si>
    <t xml:space="preserve">SHIO BUTTER  </t>
  </si>
  <si>
    <t xml:space="preserve">SWEET FLOSS BALL </t>
  </si>
  <si>
    <t>SPICY FLOSS BALL</t>
  </si>
  <si>
    <t>NEW YORKER</t>
  </si>
  <si>
    <t>TARO</t>
  </si>
  <si>
    <t>TARO PAN</t>
  </si>
  <si>
    <t>PANDAN PAN</t>
  </si>
  <si>
    <t>COFFEE PAN</t>
  </si>
  <si>
    <t>BLUEBERRY PAN</t>
  </si>
  <si>
    <t>BLUEBERRY LOAF</t>
  </si>
  <si>
    <t>BLUEBERRY STICK</t>
  </si>
  <si>
    <t>BLUEBERRY ROLL</t>
  </si>
  <si>
    <t>KENTANG</t>
  </si>
  <si>
    <t>BAWANG BOMBAY</t>
  </si>
  <si>
    <t>WORTEL</t>
  </si>
  <si>
    <t>NESCAFE : KOPI BUBUK</t>
  </si>
  <si>
    <t>LABU KUNING</t>
  </si>
  <si>
    <t>WALNUT</t>
  </si>
  <si>
    <t>KUNYIT BUBUK</t>
  </si>
  <si>
    <t>TEPUNG BERAS</t>
  </si>
  <si>
    <t>JAHE</t>
  </si>
  <si>
    <t>CABAI</t>
  </si>
  <si>
    <t>MUNIK BUMBU RENDANG</t>
  </si>
  <si>
    <t>TEPUNG BERAS KETAN</t>
  </si>
  <si>
    <t xml:space="preserve">TOMAT  </t>
  </si>
  <si>
    <t>WALNUT (HALAL POSITIVE)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</si>
</sst>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=1]&quot;✓&quot;;General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0"/>
      <name val="ＭＳ Ｐゴシック"/>
      <family val="3"/>
      <charset val="128"/>
    </font>
    <font>
      <i/>
      <sz val="9"/>
      <color theme="1"/>
      <name val="Arial"/>
      <family val="2"/>
    </font>
    <font>
      <i/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171717"/>
      <name val="Arial"/>
      <family val="2"/>
    </font>
    <font>
      <sz val="10"/>
      <color theme="0" tint="-0.499984740745262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11"/>
      <color theme="1"/>
      <name val="Calibri"/>
      <family val="2"/>
      <scheme val="minor"/>
    </font>
    <font>
      <i/>
      <sz val="9"/>
      <color theme="1"/>
      <name val="Wingdings 2"/>
      <family val="1"/>
      <charset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rgb="FFFF0000"/>
      <name val="Arial"/>
      <family val="2"/>
    </font>
    <font>
      <sz val="6"/>
      <name val="Calibri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92065187536243"/>
        <bgColor rgb="FFE2EFD9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22" fillId="0" borderId="0"/>
  </cellStyleXfs>
  <cellXfs count="234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vertical="top"/>
    </xf>
    <xf numFmtId="0" fontId="8" fillId="3" borderId="0" xfId="0" applyFont="1" applyFill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3" borderId="0" xfId="0" applyFont="1" applyFill="1"/>
    <xf numFmtId="0" fontId="8" fillId="0" borderId="9" xfId="0" applyFont="1" applyBorder="1" applyAlignment="1">
      <alignment wrapText="1"/>
    </xf>
    <xf numFmtId="0" fontId="8" fillId="0" borderId="10" xfId="0" applyFont="1" applyBorder="1" applyAlignment="1">
      <alignment wrapText="1"/>
    </xf>
    <xf numFmtId="0" fontId="8" fillId="0" borderId="11" xfId="0" applyFont="1" applyBorder="1"/>
    <xf numFmtId="0" fontId="8" fillId="0" borderId="12" xfId="0" applyFont="1" applyBorder="1" applyAlignment="1">
      <alignment horizontal="left" vertical="top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/>
    </xf>
    <xf numFmtId="0" fontId="8" fillId="0" borderId="14" xfId="0" applyFont="1" applyBorder="1" applyAlignment="1">
      <alignment wrapText="1"/>
    </xf>
    <xf numFmtId="0" fontId="8" fillId="0" borderId="15" xfId="0" applyFont="1" applyBorder="1"/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2" xfId="0" applyFont="1" applyBorder="1" applyAlignment="1">
      <alignment horizontal="left" vertical="top"/>
    </xf>
    <xf numFmtId="0" fontId="8" fillId="0" borderId="0" xfId="1" applyFont="1"/>
    <xf numFmtId="0" fontId="15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/>
    </xf>
    <xf numFmtId="0" fontId="16" fillId="0" borderId="4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8" fillId="0" borderId="4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11" fillId="0" borderId="4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19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/>
    </xf>
    <xf numFmtId="0" fontId="8" fillId="0" borderId="16" xfId="0" applyFont="1" applyBorder="1"/>
    <xf numFmtId="0" fontId="8" fillId="0" borderId="21" xfId="0" applyFont="1" applyBorder="1" applyAlignment="1">
      <alignment horizontal="left" vertical="top"/>
    </xf>
    <xf numFmtId="0" fontId="8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/>
    </xf>
    <xf numFmtId="0" fontId="8" fillId="0" borderId="17" xfId="0" applyFont="1" applyBorder="1"/>
    <xf numFmtId="0" fontId="20" fillId="0" borderId="0" xfId="0" applyFont="1"/>
    <xf numFmtId="164" fontId="20" fillId="0" borderId="0" xfId="0" applyNumberFormat="1" applyFont="1" applyAlignment="1">
      <alignment horizontal="center" vertical="center"/>
    </xf>
    <xf numFmtId="0" fontId="10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21" fillId="0" borderId="0" xfId="0" applyFont="1"/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0" borderId="15" xfId="0" applyFont="1" applyBorder="1"/>
    <xf numFmtId="0" fontId="8" fillId="0" borderId="1" xfId="0" applyFont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left" vertical="top" wrapText="1"/>
    </xf>
    <xf numFmtId="165" fontId="12" fillId="5" borderId="5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8" fillId="5" borderId="6" xfId="0" applyNumberFormat="1" applyFont="1" applyFill="1" applyBorder="1" applyAlignment="1">
      <alignment horizontal="center"/>
    </xf>
    <xf numFmtId="165" fontId="8" fillId="5" borderId="6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12" fillId="5" borderId="4" xfId="0" applyNumberFormat="1" applyFont="1" applyFill="1" applyBorder="1" applyAlignment="1">
      <alignment horizontal="center" vertical="center"/>
    </xf>
    <xf numFmtId="165" fontId="8" fillId="5" borderId="4" xfId="0" applyNumberFormat="1" applyFont="1" applyFill="1" applyBorder="1" applyAlignment="1">
      <alignment horizontal="center" vertical="center"/>
    </xf>
    <xf numFmtId="165" fontId="8" fillId="5" borderId="7" xfId="0" applyNumberFormat="1" applyFont="1" applyFill="1" applyBorder="1" applyAlignment="1">
      <alignment horizontal="center"/>
    </xf>
    <xf numFmtId="165" fontId="8" fillId="5" borderId="7" xfId="0" applyNumberFormat="1" applyFont="1" applyFill="1" applyBorder="1" applyAlignment="1">
      <alignment horizontal="center" vertical="center"/>
    </xf>
    <xf numFmtId="165" fontId="9" fillId="5" borderId="7" xfId="0" applyNumberFormat="1" applyFont="1" applyFill="1" applyBorder="1" applyAlignment="1">
      <alignment horizontal="center" vertical="center"/>
    </xf>
    <xf numFmtId="165" fontId="8" fillId="5" borderId="8" xfId="0" applyNumberFormat="1" applyFont="1" applyFill="1" applyBorder="1" applyAlignment="1">
      <alignment horizontal="center"/>
    </xf>
    <xf numFmtId="165" fontId="8" fillId="5" borderId="8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19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164" fontId="8" fillId="0" borderId="1" xfId="0" applyNumberFormat="1" applyFont="1" applyBorder="1" applyAlignment="1">
      <alignment horizontal="left" vertical="top"/>
    </xf>
    <xf numFmtId="164" fontId="8" fillId="0" borderId="3" xfId="0" applyNumberFormat="1" applyFont="1" applyBorder="1" applyAlignment="1">
      <alignment horizontal="left" vertical="top"/>
    </xf>
    <xf numFmtId="164" fontId="8" fillId="0" borderId="2" xfId="0" applyNumberFormat="1" applyFont="1" applyBorder="1" applyAlignment="1">
      <alignment horizontal="left" vertical="top"/>
    </xf>
    <xf numFmtId="0" fontId="24" fillId="0" borderId="2" xfId="0" applyFont="1" applyBorder="1" applyAlignment="1">
      <alignment horizontal="left" vertical="top"/>
    </xf>
    <xf numFmtId="0" fontId="8" fillId="5" borderId="1" xfId="0" applyFont="1" applyFill="1" applyBorder="1" applyAlignment="1">
      <alignment horizontal="left" vertical="top"/>
    </xf>
    <xf numFmtId="0" fontId="8" fillId="5" borderId="3" xfId="0" applyFont="1" applyFill="1" applyBorder="1" applyAlignment="1">
      <alignment horizontal="left" vertical="top"/>
    </xf>
    <xf numFmtId="0" fontId="8" fillId="5" borderId="2" xfId="0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164" fontId="26" fillId="0" borderId="1" xfId="0" applyNumberFormat="1" applyFont="1" applyBorder="1" applyAlignment="1">
      <alignment horizontal="left" vertical="center" wrapText="1"/>
    </xf>
    <xf numFmtId="164" fontId="26" fillId="0" borderId="3" xfId="0" applyNumberFormat="1" applyFont="1" applyBorder="1" applyAlignment="1">
      <alignment horizontal="left" vertical="center" wrapText="1"/>
    </xf>
    <xf numFmtId="164" fontId="26" fillId="0" borderId="2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top"/>
    </xf>
    <xf numFmtId="14" fontId="8" fillId="0" borderId="3" xfId="0" applyNumberFormat="1" applyFont="1" applyBorder="1" applyAlignment="1">
      <alignment horizontal="left" vertical="top"/>
    </xf>
    <xf numFmtId="14" fontId="8" fillId="0" borderId="1" xfId="0" quotePrefix="1" applyNumberFormat="1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 vertical="top"/>
    </xf>
    <xf numFmtId="0" fontId="10" fillId="0" borderId="19" xfId="0" applyFont="1" applyBorder="1" applyAlignment="1">
      <alignment horizontal="left" vertical="top" wrapText="1"/>
    </xf>
    <xf numFmtId="164" fontId="8" fillId="5" borderId="1" xfId="0" applyNumberFormat="1" applyFont="1" applyFill="1" applyBorder="1" applyAlignment="1">
      <alignment horizontal="left" vertical="top"/>
    </xf>
    <xf numFmtId="164" fontId="8" fillId="5" borderId="3" xfId="0" applyNumberFormat="1" applyFont="1" applyFill="1" applyBorder="1" applyAlignment="1">
      <alignment horizontal="left" vertical="top"/>
    </xf>
    <xf numFmtId="164" fontId="8" fillId="5" borderId="2" xfId="0" applyNumberFormat="1" applyFont="1" applyFill="1" applyBorder="1" applyAlignment="1">
      <alignment horizontal="left" vertical="top"/>
    </xf>
    <xf numFmtId="0" fontId="10" fillId="0" borderId="20" xfId="0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/>
    </xf>
    <xf numFmtId="164" fontId="10" fillId="0" borderId="3" xfId="0" applyNumberFormat="1" applyFont="1" applyBorder="1" applyAlignment="1">
      <alignment horizontal="left" vertical="top"/>
    </xf>
    <xf numFmtId="164" fontId="10" fillId="0" borderId="2" xfId="0" applyNumberFormat="1" applyFont="1" applyBorder="1" applyAlignment="1">
      <alignment horizontal="left" vertical="top"/>
    </xf>
    <xf numFmtId="164" fontId="8" fillId="0" borderId="1" xfId="0" quotePrefix="1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19" xfId="0" applyFont="1" applyBorder="1" applyAlignment="1">
      <alignment horizontal="left" vertical="top" wrapText="1"/>
    </xf>
    <xf numFmtId="0" fontId="11" fillId="0" borderId="20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164" fontId="11" fillId="0" borderId="1" xfId="0" applyNumberFormat="1" applyFont="1" applyBorder="1" applyAlignment="1">
      <alignment horizontal="left" vertical="top"/>
    </xf>
    <xf numFmtId="164" fontId="11" fillId="0" borderId="3" xfId="0" applyNumberFormat="1" applyFont="1" applyBorder="1" applyAlignment="1">
      <alignment horizontal="left" vertical="top"/>
    </xf>
    <xf numFmtId="164" fontId="11" fillId="0" borderId="2" xfId="0" applyNumberFormat="1" applyFont="1" applyBorder="1" applyAlignment="1">
      <alignment horizontal="left" vertical="top"/>
    </xf>
    <xf numFmtId="0" fontId="17" fillId="0" borderId="1" xfId="0" applyFont="1" applyBorder="1" applyAlignment="1">
      <alignment horizontal="left" vertical="top" wrapText="1"/>
    </xf>
    <xf numFmtId="0" fontId="17" fillId="0" borderId="3" xfId="0" applyFont="1" applyBorder="1" applyAlignment="1">
      <alignment horizontal="left" vertical="top" wrapText="1"/>
    </xf>
    <xf numFmtId="0" fontId="17" fillId="0" borderId="19" xfId="0" applyFont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/>
    </xf>
    <xf numFmtId="0" fontId="17" fillId="0" borderId="3" xfId="0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left" vertical="top" wrapText="1"/>
    </xf>
    <xf numFmtId="164" fontId="10" fillId="0" borderId="3" xfId="0" applyNumberFormat="1" applyFont="1" applyBorder="1" applyAlignment="1">
      <alignment horizontal="left" vertical="top" wrapText="1"/>
    </xf>
    <xf numFmtId="164" fontId="10" fillId="0" borderId="2" xfId="0" applyNumberFormat="1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3" xfId="0" applyFont="1" applyFill="1" applyBorder="1" applyAlignment="1">
      <alignment horizontal="center" vertical="center" wrapText="1"/>
    </xf>
    <xf numFmtId="0" fontId="16" fillId="5" borderId="19" xfId="0" applyFont="1" applyFill="1" applyBorder="1" applyAlignment="1">
      <alignment horizontal="center" vertical="center" wrapText="1"/>
    </xf>
    <xf numFmtId="0" fontId="8" fillId="0" borderId="20" xfId="0" applyFont="1" applyBorder="1" applyAlignment="1">
      <alignment horizontal="left" vertical="top"/>
    </xf>
    <xf numFmtId="0" fontId="8" fillId="0" borderId="19" xfId="0" applyFont="1" applyBorder="1" applyAlignment="1">
      <alignment horizontal="left" vertical="top"/>
    </xf>
    <xf numFmtId="0" fontId="16" fillId="5" borderId="1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 vertical="center"/>
    </xf>
    <xf numFmtId="164" fontId="16" fillId="5" borderId="3" xfId="0" applyNumberFormat="1" applyFont="1" applyFill="1" applyBorder="1" applyAlignment="1">
      <alignment horizontal="center" vertical="center"/>
    </xf>
    <xf numFmtId="164" fontId="16" fillId="5" borderId="2" xfId="0" applyNumberFormat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top"/>
    </xf>
    <xf numFmtId="0" fontId="17" fillId="0" borderId="2" xfId="0" applyFont="1" applyBorder="1" applyAlignment="1">
      <alignment horizontal="left" vertical="top" wrapText="1"/>
    </xf>
    <xf numFmtId="0" fontId="18" fillId="5" borderId="1" xfId="0" applyFont="1" applyFill="1" applyBorder="1" applyAlignment="1">
      <alignment horizontal="left" vertical="top"/>
    </xf>
    <xf numFmtId="0" fontId="18" fillId="5" borderId="3" xfId="0" applyFont="1" applyFill="1" applyBorder="1" applyAlignment="1">
      <alignment horizontal="left" vertical="top"/>
    </xf>
    <xf numFmtId="0" fontId="18" fillId="5" borderId="2" xfId="0" applyFont="1" applyFill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164" fontId="18" fillId="0" borderId="1" xfId="0" applyNumberFormat="1" applyFont="1" applyBorder="1" applyAlignment="1">
      <alignment horizontal="left" vertical="top" wrapText="1"/>
    </xf>
    <xf numFmtId="164" fontId="18" fillId="0" borderId="3" xfId="0" applyNumberFormat="1" applyFont="1" applyBorder="1" applyAlignment="1">
      <alignment horizontal="left" vertical="top" wrapText="1"/>
    </xf>
    <xf numFmtId="164" fontId="18" fillId="0" borderId="2" xfId="0" applyNumberFormat="1" applyFont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6" fillId="5" borderId="3" xfId="0" applyFont="1" applyFill="1" applyBorder="1" applyAlignment="1">
      <alignment horizontal="left" vertical="top" wrapText="1"/>
    </xf>
    <xf numFmtId="0" fontId="16" fillId="5" borderId="2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left" vertical="top" wrapText="1"/>
    </xf>
    <xf numFmtId="0" fontId="16" fillId="6" borderId="3" xfId="0" applyFont="1" applyFill="1" applyBorder="1" applyAlignment="1">
      <alignment horizontal="left" vertical="top" wrapText="1"/>
    </xf>
    <xf numFmtId="0" fontId="16" fillId="6" borderId="2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8" fillId="5" borderId="3" xfId="0" applyFont="1" applyFill="1" applyBorder="1" applyAlignment="1">
      <alignment horizontal="left" vertical="top" wrapText="1"/>
    </xf>
    <xf numFmtId="0" fontId="8" fillId="5" borderId="2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3" xfId="0" applyFont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4" borderId="0" xfId="0" applyFont="1" applyFill="1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8" fillId="7" borderId="1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214313</xdr:colOff>
      <xdr:row>187</xdr:row>
      <xdr:rowOff>25018</xdr:rowOff>
    </xdr:from>
    <xdr:to>
      <xdr:col>41</xdr:col>
      <xdr:colOff>224209</xdr:colOff>
      <xdr:row>191</xdr:row>
      <xdr:rowOff>4330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CxnSpPr/>
      </xdr:nvCxnSpPr>
      <xdr:spPr>
        <a:xfrm flipV="1">
          <a:off x="7173516" y="56669002"/>
          <a:ext cx="3819896" cy="1360437"/>
        </a:xfrm>
        <a:prstGeom prst="line">
          <a:avLst/>
        </a:prstGeom>
        <a:ln w="31750" cmpd="sng">
          <a:solidFill>
            <a:schemeClr val="accent6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H897"/>
  <sheetViews>
    <sheetView showGridLines="0" tabSelected="1" zoomScale="160" zoomScaleNormal="160" workbookViewId="0">
      <pane xSplit="12" ySplit="4" topLeftCell="R182" activePane="bottomRight" state="frozen"/>
      <selection pane="topRight"/>
      <selection pane="bottomLeft"/>
      <selection pane="bottomRight" activeCell="AM191" sqref="AA188:AP191"/>
    </sheetView>
  </sheetViews>
  <sheetFormatPr defaultColWidth="14.42578125" defaultRowHeight="15" customHeight="1"/>
  <cols>
    <col min="1" max="12" width="3.7109375" style="17" customWidth="1"/>
    <col min="13" max="15" width="5.28515625" style="17" customWidth="1"/>
    <col min="16" max="19" width="5.5703125" style="17" customWidth="1"/>
    <col min="20" max="84" width="3.5703125" style="17" customWidth="1"/>
    <col min="85" max="85" width="2.140625" style="17" customWidth="1"/>
    <col min="86" max="86" width="3" style="17" customWidth="1"/>
    <col min="87" max="87" width="42.42578125" style="17" customWidth="1"/>
    <col min="88" max="88" width="6.28515625" style="17" customWidth="1"/>
    <col min="89" max="89" width="18" style="17" customWidth="1"/>
    <col min="90" max="90" width="2.28515625" style="17" customWidth="1"/>
    <col min="91" max="16384" width="14.42578125" style="17"/>
  </cols>
  <sheetData>
    <row r="1" spans="1:90" ht="1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218"/>
      <c r="AK1" s="218"/>
      <c r="AL1" s="218"/>
      <c r="AM1" s="218"/>
      <c r="AN1" s="218"/>
      <c r="AO1" s="218"/>
      <c r="AP1" s="218"/>
      <c r="AQ1" s="218"/>
      <c r="AR1" s="218"/>
      <c r="AS1" s="218"/>
      <c r="AT1" s="218"/>
      <c r="AU1" s="218"/>
      <c r="AV1" s="218"/>
      <c r="AW1" s="218"/>
      <c r="AX1" s="218"/>
      <c r="AY1" s="218"/>
      <c r="AZ1" s="218"/>
      <c r="BA1" s="218"/>
      <c r="BB1" s="218"/>
      <c r="BC1" s="218"/>
      <c r="BD1" s="218"/>
      <c r="BE1" s="218"/>
      <c r="BF1" s="218"/>
      <c r="BG1" s="218"/>
      <c r="BH1" s="218"/>
      <c r="BI1" s="218"/>
      <c r="BJ1" s="218"/>
      <c r="BK1" s="218"/>
      <c r="BL1" s="218"/>
      <c r="BM1" s="218"/>
      <c r="BN1" s="218"/>
      <c r="BO1" s="218"/>
      <c r="BP1" s="218"/>
      <c r="BQ1" s="218"/>
      <c r="BR1" s="218"/>
      <c r="BS1" s="218"/>
      <c r="BT1" s="218"/>
      <c r="BU1" s="218"/>
      <c r="BV1" s="218"/>
      <c r="BW1" s="218"/>
      <c r="BX1" s="218"/>
      <c r="BY1" s="218"/>
      <c r="BZ1" s="218"/>
      <c r="CA1" s="218"/>
      <c r="CB1" s="218"/>
      <c r="CC1" s="218"/>
      <c r="CD1" s="218"/>
      <c r="CE1" s="218"/>
      <c r="CF1" s="218"/>
      <c r="CG1" s="21"/>
      <c r="CH1" s="21"/>
      <c r="CI1" s="21"/>
      <c r="CJ1" s="21"/>
      <c r="CK1" s="21"/>
      <c r="CL1" s="21"/>
    </row>
    <row r="2" spans="1:90" ht="3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90" s="14" customFormat="1" ht="15" customHeight="1">
      <c r="A3" s="212" t="s">
        <v>1</v>
      </c>
      <c r="B3" s="215"/>
      <c r="C3" s="212" t="s">
        <v>2</v>
      </c>
      <c r="D3" s="217"/>
      <c r="E3" s="217"/>
      <c r="F3" s="217"/>
      <c r="G3" s="217"/>
      <c r="H3" s="217"/>
      <c r="I3" s="217"/>
      <c r="J3" s="217"/>
      <c r="K3" s="217"/>
      <c r="L3" s="215"/>
      <c r="M3" s="213" t="s">
        <v>3</v>
      </c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2" t="s">
        <v>4</v>
      </c>
      <c r="CH3" s="213"/>
      <c r="CI3" s="213"/>
      <c r="CJ3" s="213"/>
      <c r="CK3" s="213"/>
      <c r="CL3" s="214"/>
    </row>
    <row r="4" spans="1:90" s="14" customFormat="1" ht="27" customHeight="1">
      <c r="A4" s="216"/>
      <c r="B4" s="215"/>
      <c r="C4" s="216"/>
      <c r="D4" s="217"/>
      <c r="E4" s="217"/>
      <c r="F4" s="217"/>
      <c r="G4" s="217"/>
      <c r="H4" s="217"/>
      <c r="I4" s="217"/>
      <c r="J4" s="217"/>
      <c r="K4" s="217"/>
      <c r="L4" s="215"/>
      <c r="M4" s="19">
        <v>1</v>
      </c>
      <c r="N4" s="20">
        <f>1+M4</f>
        <v>2</v>
      </c>
      <c r="O4" s="20">
        <f t="shared" ref="O4:BZ4" si="0">1+N4</f>
        <v>3</v>
      </c>
      <c r="P4" s="20">
        <f t="shared" si="0"/>
        <v>4</v>
      </c>
      <c r="Q4" s="20">
        <f t="shared" si="0"/>
        <v>5</v>
      </c>
      <c r="R4" s="20">
        <f t="shared" si="0"/>
        <v>6</v>
      </c>
      <c r="S4" s="20">
        <f t="shared" si="0"/>
        <v>7</v>
      </c>
      <c r="T4" s="20">
        <f t="shared" si="0"/>
        <v>8</v>
      </c>
      <c r="U4" s="20">
        <f t="shared" si="0"/>
        <v>9</v>
      </c>
      <c r="V4" s="20">
        <f t="shared" si="0"/>
        <v>10</v>
      </c>
      <c r="W4" s="20">
        <f t="shared" si="0"/>
        <v>11</v>
      </c>
      <c r="X4" s="20">
        <f t="shared" si="0"/>
        <v>12</v>
      </c>
      <c r="Y4" s="20">
        <f t="shared" si="0"/>
        <v>13</v>
      </c>
      <c r="Z4" s="20">
        <f t="shared" si="0"/>
        <v>14</v>
      </c>
      <c r="AA4" s="20">
        <f t="shared" si="0"/>
        <v>15</v>
      </c>
      <c r="AB4" s="20">
        <f t="shared" si="0"/>
        <v>16</v>
      </c>
      <c r="AC4" s="20">
        <f t="shared" si="0"/>
        <v>17</v>
      </c>
      <c r="AD4" s="20">
        <f t="shared" si="0"/>
        <v>18</v>
      </c>
      <c r="AE4" s="20">
        <f t="shared" si="0"/>
        <v>19</v>
      </c>
      <c r="AF4" s="20">
        <f t="shared" si="0"/>
        <v>20</v>
      </c>
      <c r="AG4" s="20">
        <f t="shared" si="0"/>
        <v>21</v>
      </c>
      <c r="AH4" s="20">
        <f t="shared" si="0"/>
        <v>22</v>
      </c>
      <c r="AI4" s="20">
        <f t="shared" si="0"/>
        <v>23</v>
      </c>
      <c r="AJ4" s="20">
        <f t="shared" si="0"/>
        <v>24</v>
      </c>
      <c r="AK4" s="20">
        <f t="shared" si="0"/>
        <v>25</v>
      </c>
      <c r="AL4" s="20">
        <f t="shared" si="0"/>
        <v>26</v>
      </c>
      <c r="AM4" s="20">
        <f t="shared" si="0"/>
        <v>27</v>
      </c>
      <c r="AN4" s="20">
        <f t="shared" si="0"/>
        <v>28</v>
      </c>
      <c r="AO4" s="20">
        <f t="shared" si="0"/>
        <v>29</v>
      </c>
      <c r="AP4" s="20">
        <f t="shared" si="0"/>
        <v>30</v>
      </c>
      <c r="AQ4" s="20">
        <f t="shared" si="0"/>
        <v>31</v>
      </c>
      <c r="AR4" s="20">
        <f t="shared" si="0"/>
        <v>32</v>
      </c>
      <c r="AS4" s="20">
        <f t="shared" si="0"/>
        <v>33</v>
      </c>
      <c r="AT4" s="20">
        <f t="shared" si="0"/>
        <v>34</v>
      </c>
      <c r="AU4" s="20">
        <f t="shared" si="0"/>
        <v>35</v>
      </c>
      <c r="AV4" s="20">
        <f t="shared" si="0"/>
        <v>36</v>
      </c>
      <c r="AW4" s="20">
        <f t="shared" si="0"/>
        <v>37</v>
      </c>
      <c r="AX4" s="20">
        <f t="shared" si="0"/>
        <v>38</v>
      </c>
      <c r="AY4" s="20">
        <f t="shared" si="0"/>
        <v>39</v>
      </c>
      <c r="AZ4" s="20">
        <f t="shared" si="0"/>
        <v>40</v>
      </c>
      <c r="BA4" s="20">
        <f t="shared" si="0"/>
        <v>41</v>
      </c>
      <c r="BB4" s="20">
        <f t="shared" si="0"/>
        <v>42</v>
      </c>
      <c r="BC4" s="20">
        <f t="shared" si="0"/>
        <v>43</v>
      </c>
      <c r="BD4" s="20">
        <f t="shared" si="0"/>
        <v>44</v>
      </c>
      <c r="BE4" s="20">
        <f t="shared" si="0"/>
        <v>45</v>
      </c>
      <c r="BF4" s="20">
        <f t="shared" si="0"/>
        <v>46</v>
      </c>
      <c r="BG4" s="20">
        <f t="shared" si="0"/>
        <v>47</v>
      </c>
      <c r="BH4" s="20">
        <f t="shared" si="0"/>
        <v>48</v>
      </c>
      <c r="BI4" s="20">
        <f t="shared" si="0"/>
        <v>49</v>
      </c>
      <c r="BJ4" s="20">
        <f t="shared" si="0"/>
        <v>50</v>
      </c>
      <c r="BK4" s="20">
        <f t="shared" si="0"/>
        <v>51</v>
      </c>
      <c r="BL4" s="20">
        <f t="shared" si="0"/>
        <v>52</v>
      </c>
      <c r="BM4" s="20">
        <f t="shared" si="0"/>
        <v>53</v>
      </c>
      <c r="BN4" s="20">
        <f t="shared" si="0"/>
        <v>54</v>
      </c>
      <c r="BO4" s="20">
        <f t="shared" si="0"/>
        <v>55</v>
      </c>
      <c r="BP4" s="20">
        <f t="shared" si="0"/>
        <v>56</v>
      </c>
      <c r="BQ4" s="20">
        <f t="shared" si="0"/>
        <v>57</v>
      </c>
      <c r="BR4" s="20">
        <f t="shared" si="0"/>
        <v>58</v>
      </c>
      <c r="BS4" s="20">
        <f t="shared" si="0"/>
        <v>59</v>
      </c>
      <c r="BT4" s="20">
        <f t="shared" si="0"/>
        <v>60</v>
      </c>
      <c r="BU4" s="20">
        <f t="shared" si="0"/>
        <v>61</v>
      </c>
      <c r="BV4" s="20">
        <f t="shared" si="0"/>
        <v>62</v>
      </c>
      <c r="BW4" s="20">
        <f t="shared" si="0"/>
        <v>63</v>
      </c>
      <c r="BX4" s="20">
        <f t="shared" si="0"/>
        <v>64</v>
      </c>
      <c r="BY4" s="20">
        <f t="shared" si="0"/>
        <v>65</v>
      </c>
      <c r="BZ4" s="20">
        <f t="shared" si="0"/>
        <v>66</v>
      </c>
      <c r="CA4" s="20">
        <f t="shared" ref="CA4:CF4" si="1">1+BZ4</f>
        <v>67</v>
      </c>
      <c r="CB4" s="20">
        <f t="shared" si="1"/>
        <v>68</v>
      </c>
      <c r="CC4" s="20">
        <f t="shared" si="1"/>
        <v>69</v>
      </c>
      <c r="CD4" s="20">
        <f t="shared" si="1"/>
        <v>70</v>
      </c>
      <c r="CE4" s="20">
        <f t="shared" si="1"/>
        <v>71</v>
      </c>
      <c r="CF4" s="20">
        <f t="shared" si="1"/>
        <v>72</v>
      </c>
      <c r="CG4" s="22"/>
      <c r="CH4" s="23"/>
      <c r="CI4" s="23"/>
      <c r="CJ4" s="23"/>
      <c r="CK4" s="23"/>
      <c r="CL4" s="29"/>
    </row>
    <row r="5" spans="1:90" ht="26.45" customHeight="1">
      <c r="A5" s="176">
        <v>1</v>
      </c>
      <c r="B5" s="177"/>
      <c r="C5" s="200" t="s">
        <v>5</v>
      </c>
      <c r="D5" s="201"/>
      <c r="E5" s="201"/>
      <c r="F5" s="201"/>
      <c r="G5" s="201"/>
      <c r="H5" s="201"/>
      <c r="I5" s="201"/>
      <c r="J5" s="201"/>
      <c r="K5" s="201"/>
      <c r="L5" s="202"/>
      <c r="M5" s="72"/>
      <c r="N5" s="73"/>
      <c r="O5" s="73"/>
      <c r="P5" s="73"/>
      <c r="Q5" s="73"/>
      <c r="R5" s="74"/>
      <c r="S5" s="73"/>
      <c r="T5" s="73"/>
      <c r="U5" s="73"/>
      <c r="V5" s="74"/>
      <c r="W5" s="73"/>
      <c r="X5" s="73"/>
      <c r="Y5" s="73"/>
      <c r="Z5" s="73"/>
      <c r="AA5" s="73"/>
      <c r="AB5" s="75"/>
      <c r="AC5" s="75"/>
      <c r="AD5" s="75"/>
      <c r="AE5" s="76"/>
      <c r="AF5" s="75"/>
      <c r="AG5" s="75"/>
      <c r="AH5" s="75"/>
      <c r="AI5" s="75"/>
      <c r="AJ5" s="77"/>
      <c r="AK5" s="75"/>
      <c r="AL5" s="75"/>
      <c r="AM5" s="75"/>
      <c r="AN5" s="75"/>
      <c r="AO5" s="77"/>
      <c r="AP5" s="75"/>
      <c r="AQ5" s="75"/>
      <c r="AR5" s="75"/>
      <c r="AS5" s="77"/>
      <c r="AT5" s="75"/>
      <c r="AU5" s="75"/>
      <c r="AV5" s="75"/>
      <c r="AW5" s="75"/>
      <c r="AX5" s="76"/>
      <c r="AY5" s="75"/>
      <c r="AZ5" s="75"/>
      <c r="BA5" s="75"/>
      <c r="BB5" s="76"/>
      <c r="BC5" s="75"/>
      <c r="BD5" s="75"/>
      <c r="BE5" s="75"/>
      <c r="BF5" s="75"/>
      <c r="BG5" s="77"/>
      <c r="BH5" s="75"/>
      <c r="BI5" s="75"/>
      <c r="BJ5" s="75"/>
      <c r="BK5" s="75"/>
      <c r="BL5" s="77"/>
      <c r="BM5" s="75"/>
      <c r="BN5" s="75"/>
      <c r="BO5" s="75"/>
      <c r="BP5" s="77"/>
      <c r="BQ5" s="75"/>
      <c r="BR5" s="75"/>
      <c r="BS5" s="75"/>
      <c r="BT5" s="75"/>
      <c r="BU5" s="76"/>
      <c r="BV5" s="75"/>
      <c r="BW5" s="75"/>
      <c r="BX5" s="75"/>
      <c r="BY5" s="76"/>
      <c r="BZ5" s="75"/>
      <c r="CA5" s="75"/>
      <c r="CB5" s="75"/>
      <c r="CC5" s="75"/>
      <c r="CD5" s="77"/>
      <c r="CE5" s="75"/>
      <c r="CF5" s="75"/>
      <c r="CG5" s="24"/>
      <c r="CH5" s="25">
        <v>1</v>
      </c>
      <c r="CI5" s="26" t="s">
        <v>372</v>
      </c>
      <c r="CJ5" s="27"/>
      <c r="CK5" s="26"/>
      <c r="CL5" s="30"/>
    </row>
    <row r="6" spans="1:90" ht="12.75">
      <c r="A6" s="176">
        <v>2</v>
      </c>
      <c r="B6" s="177"/>
      <c r="C6" s="200" t="s">
        <v>6</v>
      </c>
      <c r="D6" s="201"/>
      <c r="E6" s="201"/>
      <c r="F6" s="201"/>
      <c r="G6" s="201"/>
      <c r="H6" s="201"/>
      <c r="I6" s="201"/>
      <c r="J6" s="201"/>
      <c r="K6" s="201"/>
      <c r="L6" s="202"/>
      <c r="M6" s="78"/>
      <c r="N6" s="79"/>
      <c r="O6" s="80"/>
      <c r="P6" s="80"/>
      <c r="Q6" s="80"/>
      <c r="R6" s="78"/>
      <c r="S6" s="80"/>
      <c r="T6" s="80"/>
      <c r="U6" s="79"/>
      <c r="V6" s="78"/>
      <c r="W6" s="79"/>
      <c r="X6" s="79"/>
      <c r="Y6" s="80"/>
      <c r="Z6" s="80"/>
      <c r="AA6" s="80"/>
      <c r="AB6" s="81"/>
      <c r="AC6" s="81"/>
      <c r="AD6" s="81">
        <v>1</v>
      </c>
      <c r="AE6" s="82">
        <v>1</v>
      </c>
      <c r="AF6" s="81"/>
      <c r="AG6" s="81">
        <v>1</v>
      </c>
      <c r="AH6" s="81"/>
      <c r="AI6" s="81"/>
      <c r="AJ6" s="83"/>
      <c r="AK6" s="81"/>
      <c r="AL6" s="81"/>
      <c r="AM6" s="81"/>
      <c r="AN6" s="81"/>
      <c r="AO6" s="83"/>
      <c r="AP6" s="81"/>
      <c r="AQ6" s="81"/>
      <c r="AR6" s="81"/>
      <c r="AS6" s="83"/>
      <c r="AT6" s="81"/>
      <c r="AU6" s="81"/>
      <c r="AV6" s="81"/>
      <c r="AW6" s="81"/>
      <c r="AX6" s="82"/>
      <c r="AY6" s="81"/>
      <c r="AZ6" s="81"/>
      <c r="BA6" s="81"/>
      <c r="BB6" s="82"/>
      <c r="BC6" s="81"/>
      <c r="BD6" s="81"/>
      <c r="BE6" s="81"/>
      <c r="BF6" s="81"/>
      <c r="BG6" s="83"/>
      <c r="BH6" s="81"/>
      <c r="BI6" s="81"/>
      <c r="BJ6" s="81"/>
      <c r="BK6" s="81"/>
      <c r="BL6" s="83"/>
      <c r="BM6" s="81"/>
      <c r="BN6" s="81"/>
      <c r="BO6" s="81"/>
      <c r="BP6" s="83"/>
      <c r="BQ6" s="81"/>
      <c r="BR6" s="81"/>
      <c r="BS6" s="81"/>
      <c r="BT6" s="81"/>
      <c r="BU6" s="82"/>
      <c r="BV6" s="81"/>
      <c r="BW6" s="81"/>
      <c r="BX6" s="81"/>
      <c r="BY6" s="82"/>
      <c r="BZ6" s="81"/>
      <c r="CA6" s="81"/>
      <c r="CB6" s="81"/>
      <c r="CC6" s="81"/>
      <c r="CD6" s="83"/>
      <c r="CE6" s="81"/>
      <c r="CF6" s="81"/>
      <c r="CG6" s="24"/>
      <c r="CH6" s="25">
        <f>1+CH5</f>
        <v>2</v>
      </c>
      <c r="CI6" s="26" t="s">
        <v>373</v>
      </c>
      <c r="CJ6" s="27"/>
      <c r="CK6" s="26"/>
      <c r="CL6" s="30"/>
    </row>
    <row r="7" spans="1:90" ht="26.45" customHeight="1">
      <c r="A7" s="176">
        <v>3</v>
      </c>
      <c r="B7" s="177"/>
      <c r="C7" s="200" t="s">
        <v>7</v>
      </c>
      <c r="D7" s="201"/>
      <c r="E7" s="201"/>
      <c r="F7" s="201"/>
      <c r="G7" s="201"/>
      <c r="H7" s="201"/>
      <c r="I7" s="201"/>
      <c r="J7" s="201"/>
      <c r="K7" s="201"/>
      <c r="L7" s="202"/>
      <c r="M7" s="78"/>
      <c r="N7" s="80"/>
      <c r="O7" s="80"/>
      <c r="P7" s="80"/>
      <c r="Q7" s="80"/>
      <c r="R7" s="78"/>
      <c r="S7" s="80"/>
      <c r="T7" s="80"/>
      <c r="U7" s="80"/>
      <c r="V7" s="78"/>
      <c r="W7" s="80"/>
      <c r="X7" s="80"/>
      <c r="Y7" s="80"/>
      <c r="Z7" s="80"/>
      <c r="AA7" s="80"/>
      <c r="AB7" s="81"/>
      <c r="AC7" s="81"/>
      <c r="AD7" s="81"/>
      <c r="AE7" s="82"/>
      <c r="AF7" s="81"/>
      <c r="AG7" s="81"/>
      <c r="AH7" s="81"/>
      <c r="AI7" s="81"/>
      <c r="AJ7" s="83"/>
      <c r="AK7" s="81"/>
      <c r="AL7" s="81"/>
      <c r="AM7" s="81"/>
      <c r="AN7" s="81"/>
      <c r="AO7" s="83"/>
      <c r="AP7" s="81"/>
      <c r="AQ7" s="81"/>
      <c r="AR7" s="81"/>
      <c r="AS7" s="83"/>
      <c r="AT7" s="81"/>
      <c r="AU7" s="81"/>
      <c r="AV7" s="81"/>
      <c r="AW7" s="81"/>
      <c r="AX7" s="82"/>
      <c r="AY7" s="81"/>
      <c r="AZ7" s="81"/>
      <c r="BA7" s="81"/>
      <c r="BB7" s="82"/>
      <c r="BC7" s="81"/>
      <c r="BD7" s="81"/>
      <c r="BE7" s="81"/>
      <c r="BF7" s="81"/>
      <c r="BG7" s="83"/>
      <c r="BH7" s="81"/>
      <c r="BI7" s="81"/>
      <c r="BJ7" s="81"/>
      <c r="BK7" s="81"/>
      <c r="BL7" s="83"/>
      <c r="BM7" s="81"/>
      <c r="BN7" s="81"/>
      <c r="BO7" s="81"/>
      <c r="BP7" s="83"/>
      <c r="BQ7" s="81"/>
      <c r="BR7" s="81"/>
      <c r="BS7" s="81"/>
      <c r="BT7" s="81"/>
      <c r="BU7" s="82"/>
      <c r="BV7" s="81"/>
      <c r="BW7" s="81"/>
      <c r="BX7" s="81"/>
      <c r="BY7" s="82"/>
      <c r="BZ7" s="81"/>
      <c r="CA7" s="81"/>
      <c r="CB7" s="81"/>
      <c r="CC7" s="81"/>
      <c r="CD7" s="83"/>
      <c r="CE7" s="81"/>
      <c r="CF7" s="81"/>
      <c r="CG7" s="24"/>
      <c r="CH7" s="25">
        <f t="shared" ref="CH7:CH29" si="2">1+CH6</f>
        <v>3</v>
      </c>
      <c r="CI7" s="26" t="s">
        <v>375</v>
      </c>
      <c r="CJ7" s="27"/>
      <c r="CK7" s="26"/>
      <c r="CL7" s="30"/>
    </row>
    <row r="8" spans="1:90" ht="26.45" customHeight="1">
      <c r="A8" s="176">
        <v>4</v>
      </c>
      <c r="B8" s="177"/>
      <c r="C8" s="200" t="s">
        <v>338</v>
      </c>
      <c r="D8" s="201"/>
      <c r="E8" s="201"/>
      <c r="F8" s="201"/>
      <c r="G8" s="201"/>
      <c r="H8" s="201"/>
      <c r="I8" s="201"/>
      <c r="J8" s="201"/>
      <c r="K8" s="201"/>
      <c r="L8" s="202"/>
      <c r="M8" s="78"/>
      <c r="N8" s="80"/>
      <c r="O8" s="80"/>
      <c r="P8" s="80"/>
      <c r="Q8" s="80"/>
      <c r="R8" s="78"/>
      <c r="S8" s="80"/>
      <c r="T8" s="80"/>
      <c r="U8" s="79"/>
      <c r="V8" s="78"/>
      <c r="W8" s="80"/>
      <c r="X8" s="80"/>
      <c r="Y8" s="80"/>
      <c r="Z8" s="80"/>
      <c r="AA8" s="80"/>
      <c r="AB8" s="81"/>
      <c r="AC8" s="81"/>
      <c r="AD8" s="81"/>
      <c r="AE8" s="82"/>
      <c r="AF8" s="81"/>
      <c r="AG8" s="81"/>
      <c r="AH8" s="81"/>
      <c r="AI8" s="81"/>
      <c r="AJ8" s="83"/>
      <c r="AK8" s="81"/>
      <c r="AL8" s="81"/>
      <c r="AM8" s="81"/>
      <c r="AN8" s="81"/>
      <c r="AO8" s="83"/>
      <c r="AP8" s="81"/>
      <c r="AQ8" s="81"/>
      <c r="AR8" s="81"/>
      <c r="AS8" s="83"/>
      <c r="AT8" s="81"/>
      <c r="AU8" s="81"/>
      <c r="AV8" s="81"/>
      <c r="AW8" s="81"/>
      <c r="AX8" s="82"/>
      <c r="AY8" s="81"/>
      <c r="AZ8" s="81"/>
      <c r="BA8" s="81"/>
      <c r="BB8" s="82"/>
      <c r="BC8" s="81"/>
      <c r="BD8" s="81"/>
      <c r="BE8" s="81"/>
      <c r="BF8" s="81"/>
      <c r="BG8" s="83"/>
      <c r="BH8" s="81"/>
      <c r="BI8" s="81"/>
      <c r="BJ8" s="81"/>
      <c r="BK8" s="81"/>
      <c r="BL8" s="83"/>
      <c r="BM8" s="81"/>
      <c r="BN8" s="81"/>
      <c r="BO8" s="81"/>
      <c r="BP8" s="83"/>
      <c r="BQ8" s="81"/>
      <c r="BR8" s="81"/>
      <c r="BS8" s="81"/>
      <c r="BT8" s="81"/>
      <c r="BU8" s="82"/>
      <c r="BV8" s="81"/>
      <c r="BW8" s="81"/>
      <c r="BX8" s="81"/>
      <c r="BY8" s="82"/>
      <c r="BZ8" s="81"/>
      <c r="CA8" s="81"/>
      <c r="CB8" s="81"/>
      <c r="CC8" s="81"/>
      <c r="CD8" s="83"/>
      <c r="CE8" s="81"/>
      <c r="CF8" s="81"/>
      <c r="CG8" s="24"/>
      <c r="CH8" s="25">
        <f t="shared" si="2"/>
        <v>4</v>
      </c>
      <c r="CI8" s="26" t="s">
        <v>374</v>
      </c>
      <c r="CJ8" s="27"/>
      <c r="CK8" s="26"/>
      <c r="CL8" s="30"/>
    </row>
    <row r="9" spans="1:90" ht="12.75">
      <c r="A9" s="176">
        <v>5</v>
      </c>
      <c r="B9" s="177"/>
      <c r="C9" s="178" t="s">
        <v>8</v>
      </c>
      <c r="D9" s="179"/>
      <c r="E9" s="179"/>
      <c r="F9" s="179"/>
      <c r="G9" s="179"/>
      <c r="H9" s="179"/>
      <c r="I9" s="179"/>
      <c r="J9" s="179"/>
      <c r="K9" s="179"/>
      <c r="L9" s="180"/>
      <c r="M9" s="79">
        <v>1</v>
      </c>
      <c r="N9" s="80">
        <v>1</v>
      </c>
      <c r="O9" s="80">
        <v>1</v>
      </c>
      <c r="P9" s="80">
        <v>1</v>
      </c>
      <c r="Q9" s="80">
        <v>1</v>
      </c>
      <c r="R9" s="78">
        <v>1</v>
      </c>
      <c r="S9" s="80">
        <v>1</v>
      </c>
      <c r="T9" s="80">
        <v>1</v>
      </c>
      <c r="U9" s="80">
        <v>1</v>
      </c>
      <c r="V9" s="78">
        <v>1</v>
      </c>
      <c r="W9" s="80">
        <v>1</v>
      </c>
      <c r="X9" s="80">
        <v>1</v>
      </c>
      <c r="Y9" s="80">
        <v>1</v>
      </c>
      <c r="Z9" s="80">
        <v>1</v>
      </c>
      <c r="AA9" s="80">
        <v>1</v>
      </c>
      <c r="AB9" s="81">
        <v>1</v>
      </c>
      <c r="AC9" s="81">
        <v>1</v>
      </c>
      <c r="AD9" s="81">
        <v>1</v>
      </c>
      <c r="AE9" s="82">
        <v>1</v>
      </c>
      <c r="AF9" s="81">
        <v>1</v>
      </c>
      <c r="AG9" s="81">
        <v>1</v>
      </c>
      <c r="AH9" s="81">
        <v>1</v>
      </c>
      <c r="AI9" s="81">
        <v>1</v>
      </c>
      <c r="AJ9" s="83">
        <v>1</v>
      </c>
      <c r="AK9" s="81">
        <v>1</v>
      </c>
      <c r="AL9" s="81"/>
      <c r="AM9" s="81"/>
      <c r="AN9" s="81"/>
      <c r="AO9" s="83"/>
      <c r="AP9" s="81"/>
      <c r="AQ9" s="81"/>
      <c r="AR9" s="81"/>
      <c r="AS9" s="83"/>
      <c r="AT9" s="81"/>
      <c r="AU9" s="81"/>
      <c r="AV9" s="81"/>
      <c r="AW9" s="81"/>
      <c r="AX9" s="82"/>
      <c r="AY9" s="81"/>
      <c r="AZ9" s="81"/>
      <c r="BA9" s="81"/>
      <c r="BB9" s="82"/>
      <c r="BC9" s="81"/>
      <c r="BD9" s="81"/>
      <c r="BE9" s="81"/>
      <c r="BF9" s="81"/>
      <c r="BG9" s="83"/>
      <c r="BH9" s="81"/>
      <c r="BI9" s="81"/>
      <c r="BJ9" s="81"/>
      <c r="BK9" s="81"/>
      <c r="BL9" s="83"/>
      <c r="BM9" s="81"/>
      <c r="BN9" s="81"/>
      <c r="BO9" s="81"/>
      <c r="BP9" s="83"/>
      <c r="BQ9" s="81"/>
      <c r="BR9" s="81"/>
      <c r="BS9" s="81"/>
      <c r="BT9" s="81"/>
      <c r="BU9" s="82"/>
      <c r="BV9" s="81"/>
      <c r="BW9" s="81"/>
      <c r="BX9" s="81"/>
      <c r="BY9" s="82"/>
      <c r="BZ9" s="81"/>
      <c r="CA9" s="81"/>
      <c r="CB9" s="81"/>
      <c r="CC9" s="81"/>
      <c r="CD9" s="83"/>
      <c r="CE9" s="81"/>
      <c r="CF9" s="81"/>
      <c r="CG9" s="24"/>
      <c r="CH9" s="25">
        <f t="shared" si="2"/>
        <v>5</v>
      </c>
      <c r="CI9" s="26" t="s">
        <v>376</v>
      </c>
      <c r="CJ9" s="27"/>
      <c r="CK9" s="26"/>
      <c r="CL9" s="30"/>
    </row>
    <row r="10" spans="1:90" ht="12.75">
      <c r="A10" s="176">
        <v>6</v>
      </c>
      <c r="B10" s="177"/>
      <c r="C10" s="178" t="s">
        <v>9</v>
      </c>
      <c r="D10" s="179"/>
      <c r="E10" s="179"/>
      <c r="F10" s="179"/>
      <c r="G10" s="179"/>
      <c r="H10" s="179"/>
      <c r="I10" s="179"/>
      <c r="J10" s="179"/>
      <c r="K10" s="179"/>
      <c r="L10" s="180"/>
      <c r="M10" s="79">
        <v>1</v>
      </c>
      <c r="N10" s="80">
        <v>1</v>
      </c>
      <c r="O10" s="80">
        <v>1</v>
      </c>
      <c r="P10" s="80">
        <v>1</v>
      </c>
      <c r="Q10" s="80">
        <v>1</v>
      </c>
      <c r="R10" s="78">
        <v>1</v>
      </c>
      <c r="S10" s="80">
        <v>1</v>
      </c>
      <c r="T10" s="80">
        <v>1</v>
      </c>
      <c r="U10" s="80">
        <v>1</v>
      </c>
      <c r="V10" s="78">
        <v>1</v>
      </c>
      <c r="W10" s="80">
        <v>1</v>
      </c>
      <c r="X10" s="80">
        <v>1</v>
      </c>
      <c r="Y10" s="80">
        <v>1</v>
      </c>
      <c r="Z10" s="80">
        <v>1</v>
      </c>
      <c r="AA10" s="80">
        <v>1</v>
      </c>
      <c r="AB10" s="81">
        <v>1</v>
      </c>
      <c r="AC10" s="81">
        <v>1</v>
      </c>
      <c r="AD10" s="81">
        <v>1</v>
      </c>
      <c r="AE10" s="82">
        <v>1</v>
      </c>
      <c r="AF10" s="81">
        <v>1</v>
      </c>
      <c r="AG10" s="81">
        <v>1</v>
      </c>
      <c r="AH10" s="81">
        <v>1</v>
      </c>
      <c r="AI10" s="81">
        <v>1</v>
      </c>
      <c r="AJ10" s="83">
        <v>1</v>
      </c>
      <c r="AK10" s="81">
        <v>1</v>
      </c>
      <c r="AL10" s="81"/>
      <c r="AM10" s="81"/>
      <c r="AN10" s="81"/>
      <c r="AO10" s="83"/>
      <c r="AP10" s="81"/>
      <c r="AQ10" s="81"/>
      <c r="AR10" s="81"/>
      <c r="AS10" s="83"/>
      <c r="AT10" s="81"/>
      <c r="AU10" s="81"/>
      <c r="AV10" s="81"/>
      <c r="AW10" s="81"/>
      <c r="AX10" s="82"/>
      <c r="AY10" s="81"/>
      <c r="AZ10" s="81"/>
      <c r="BA10" s="81"/>
      <c r="BB10" s="82"/>
      <c r="BC10" s="81"/>
      <c r="BD10" s="81"/>
      <c r="BE10" s="81"/>
      <c r="BF10" s="81"/>
      <c r="BG10" s="83"/>
      <c r="BH10" s="81"/>
      <c r="BI10" s="81"/>
      <c r="BJ10" s="81"/>
      <c r="BK10" s="81"/>
      <c r="BL10" s="83"/>
      <c r="BM10" s="81"/>
      <c r="BN10" s="81"/>
      <c r="BO10" s="81"/>
      <c r="BP10" s="83"/>
      <c r="BQ10" s="81"/>
      <c r="BR10" s="81"/>
      <c r="BS10" s="81"/>
      <c r="BT10" s="81"/>
      <c r="BU10" s="82"/>
      <c r="BV10" s="81"/>
      <c r="BW10" s="81"/>
      <c r="BX10" s="81"/>
      <c r="BY10" s="82"/>
      <c r="BZ10" s="81"/>
      <c r="CA10" s="81"/>
      <c r="CB10" s="81"/>
      <c r="CC10" s="81"/>
      <c r="CD10" s="83"/>
      <c r="CE10" s="81"/>
      <c r="CF10" s="81"/>
      <c r="CG10" s="24"/>
      <c r="CH10" s="25">
        <f t="shared" si="2"/>
        <v>6</v>
      </c>
      <c r="CI10" s="26" t="s">
        <v>377</v>
      </c>
      <c r="CJ10" s="27"/>
      <c r="CK10" s="26"/>
      <c r="CL10" s="30"/>
    </row>
    <row r="11" spans="1:90" ht="12.75">
      <c r="A11" s="176">
        <v>7</v>
      </c>
      <c r="B11" s="177"/>
      <c r="C11" s="178" t="s">
        <v>10</v>
      </c>
      <c r="D11" s="179"/>
      <c r="E11" s="179"/>
      <c r="F11" s="179"/>
      <c r="G11" s="179"/>
      <c r="H11" s="179"/>
      <c r="I11" s="179"/>
      <c r="J11" s="179"/>
      <c r="K11" s="179"/>
      <c r="L11" s="180"/>
      <c r="M11" s="79"/>
      <c r="N11" s="80">
        <v>1</v>
      </c>
      <c r="O11" s="80">
        <v>1</v>
      </c>
      <c r="P11" s="80"/>
      <c r="Q11" s="80"/>
      <c r="R11" s="78"/>
      <c r="S11" s="80"/>
      <c r="T11" s="80"/>
      <c r="U11" s="80"/>
      <c r="V11" s="78"/>
      <c r="W11" s="80"/>
      <c r="X11" s="80"/>
      <c r="Y11" s="80"/>
      <c r="Z11" s="80"/>
      <c r="AA11" s="80"/>
      <c r="AB11" s="81"/>
      <c r="AC11" s="81"/>
      <c r="AD11" s="81">
        <v>1</v>
      </c>
      <c r="AE11" s="82">
        <v>1</v>
      </c>
      <c r="AF11" s="81"/>
      <c r="AG11" s="81"/>
      <c r="AH11" s="81"/>
      <c r="AI11" s="81"/>
      <c r="AJ11" s="83"/>
      <c r="AK11" s="81"/>
      <c r="AL11" s="81"/>
      <c r="AM11" s="81"/>
      <c r="AN11" s="81"/>
      <c r="AO11" s="83"/>
      <c r="AP11" s="81"/>
      <c r="AQ11" s="81"/>
      <c r="AR11" s="81"/>
      <c r="AS11" s="83"/>
      <c r="AT11" s="81"/>
      <c r="AU11" s="81"/>
      <c r="AV11" s="81"/>
      <c r="AW11" s="81"/>
      <c r="AX11" s="82"/>
      <c r="AY11" s="81"/>
      <c r="AZ11" s="81"/>
      <c r="BA11" s="81"/>
      <c r="BB11" s="82"/>
      <c r="BC11" s="81"/>
      <c r="BD11" s="81"/>
      <c r="BE11" s="81"/>
      <c r="BF11" s="81"/>
      <c r="BG11" s="83"/>
      <c r="BH11" s="81"/>
      <c r="BI11" s="81"/>
      <c r="BJ11" s="81"/>
      <c r="BK11" s="81"/>
      <c r="BL11" s="83"/>
      <c r="BM11" s="81"/>
      <c r="BN11" s="81"/>
      <c r="BO11" s="81"/>
      <c r="BP11" s="83"/>
      <c r="BQ11" s="81"/>
      <c r="BR11" s="81"/>
      <c r="BS11" s="81"/>
      <c r="BT11" s="81"/>
      <c r="BU11" s="82"/>
      <c r="BV11" s="81"/>
      <c r="BW11" s="81"/>
      <c r="BX11" s="81"/>
      <c r="BY11" s="82"/>
      <c r="BZ11" s="81"/>
      <c r="CA11" s="81"/>
      <c r="CB11" s="81"/>
      <c r="CC11" s="81"/>
      <c r="CD11" s="83"/>
      <c r="CE11" s="81"/>
      <c r="CF11" s="81"/>
      <c r="CG11" s="24"/>
      <c r="CH11" s="25">
        <f t="shared" si="2"/>
        <v>7</v>
      </c>
      <c r="CI11" s="26" t="s">
        <v>378</v>
      </c>
      <c r="CJ11" s="27"/>
      <c r="CK11" s="26"/>
      <c r="CL11" s="30"/>
    </row>
    <row r="12" spans="1:90" ht="26.45" customHeight="1">
      <c r="A12" s="176">
        <v>8</v>
      </c>
      <c r="B12" s="177"/>
      <c r="C12" s="200" t="s">
        <v>11</v>
      </c>
      <c r="D12" s="201"/>
      <c r="E12" s="201"/>
      <c r="F12" s="201"/>
      <c r="G12" s="201"/>
      <c r="H12" s="201"/>
      <c r="I12" s="201"/>
      <c r="J12" s="201"/>
      <c r="K12" s="201"/>
      <c r="L12" s="202"/>
      <c r="M12" s="78"/>
      <c r="N12" s="80"/>
      <c r="O12" s="80"/>
      <c r="P12" s="80"/>
      <c r="Q12" s="80"/>
      <c r="R12" s="78"/>
      <c r="S12" s="80"/>
      <c r="T12" s="80"/>
      <c r="U12" s="80"/>
      <c r="V12" s="78"/>
      <c r="W12" s="80"/>
      <c r="X12" s="80"/>
      <c r="Y12" s="80"/>
      <c r="Z12" s="80"/>
      <c r="AA12" s="80"/>
      <c r="AB12" s="81"/>
      <c r="AC12" s="81"/>
      <c r="AD12" s="81"/>
      <c r="AE12" s="82"/>
      <c r="AF12" s="81"/>
      <c r="AG12" s="81"/>
      <c r="AH12" s="81"/>
      <c r="AI12" s="81"/>
      <c r="AJ12" s="83"/>
      <c r="AK12" s="81"/>
      <c r="AL12" s="81"/>
      <c r="AM12" s="81"/>
      <c r="AN12" s="81"/>
      <c r="AO12" s="83"/>
      <c r="AP12" s="81"/>
      <c r="AQ12" s="81"/>
      <c r="AR12" s="81"/>
      <c r="AS12" s="83"/>
      <c r="AT12" s="81"/>
      <c r="AU12" s="81"/>
      <c r="AV12" s="81"/>
      <c r="AW12" s="81"/>
      <c r="AX12" s="82"/>
      <c r="AY12" s="81"/>
      <c r="AZ12" s="81"/>
      <c r="BA12" s="81"/>
      <c r="BB12" s="82"/>
      <c r="BC12" s="81"/>
      <c r="BD12" s="81"/>
      <c r="BE12" s="81"/>
      <c r="BF12" s="81"/>
      <c r="BG12" s="83"/>
      <c r="BH12" s="81"/>
      <c r="BI12" s="81"/>
      <c r="BJ12" s="81"/>
      <c r="BK12" s="81"/>
      <c r="BL12" s="83"/>
      <c r="BM12" s="81"/>
      <c r="BN12" s="81"/>
      <c r="BO12" s="81"/>
      <c r="BP12" s="83"/>
      <c r="BQ12" s="81"/>
      <c r="BR12" s="81"/>
      <c r="BS12" s="81"/>
      <c r="BT12" s="81"/>
      <c r="BU12" s="82"/>
      <c r="BV12" s="81"/>
      <c r="BW12" s="81"/>
      <c r="BX12" s="81"/>
      <c r="BY12" s="82"/>
      <c r="BZ12" s="81"/>
      <c r="CA12" s="81"/>
      <c r="CB12" s="81"/>
      <c r="CC12" s="81"/>
      <c r="CD12" s="83"/>
      <c r="CE12" s="81"/>
      <c r="CF12" s="81"/>
      <c r="CG12" s="24"/>
      <c r="CH12" s="25">
        <f t="shared" si="2"/>
        <v>8</v>
      </c>
      <c r="CI12" s="26" t="s">
        <v>379</v>
      </c>
      <c r="CJ12" s="27"/>
      <c r="CK12" s="26"/>
      <c r="CL12" s="30"/>
    </row>
    <row r="13" spans="1:90" ht="12.75">
      <c r="A13" s="176">
        <v>9</v>
      </c>
      <c r="B13" s="177"/>
      <c r="C13" s="178" t="s">
        <v>339</v>
      </c>
      <c r="D13" s="179"/>
      <c r="E13" s="179"/>
      <c r="F13" s="179"/>
      <c r="G13" s="179"/>
      <c r="H13" s="179"/>
      <c r="I13" s="179"/>
      <c r="J13" s="179"/>
      <c r="K13" s="179"/>
      <c r="L13" s="180"/>
      <c r="M13" s="78"/>
      <c r="N13" s="80"/>
      <c r="O13" s="80"/>
      <c r="P13" s="80"/>
      <c r="Q13" s="80"/>
      <c r="R13" s="78"/>
      <c r="S13" s="80"/>
      <c r="T13" s="80"/>
      <c r="U13" s="80"/>
      <c r="V13" s="78"/>
      <c r="W13" s="80"/>
      <c r="X13" s="80"/>
      <c r="Y13" s="80"/>
      <c r="Z13" s="80"/>
      <c r="AA13" s="80"/>
      <c r="AB13" s="81"/>
      <c r="AC13" s="81"/>
      <c r="AD13" s="81"/>
      <c r="AE13" s="82"/>
      <c r="AF13" s="81"/>
      <c r="AG13" s="81"/>
      <c r="AH13" s="81"/>
      <c r="AI13" s="81"/>
      <c r="AJ13" s="83"/>
      <c r="AK13" s="81"/>
      <c r="AL13" s="81"/>
      <c r="AM13" s="81"/>
      <c r="AN13" s="81"/>
      <c r="AO13" s="83"/>
      <c r="AP13" s="81"/>
      <c r="AQ13" s="81"/>
      <c r="AR13" s="81"/>
      <c r="AS13" s="83"/>
      <c r="AT13" s="81"/>
      <c r="AU13" s="81"/>
      <c r="AV13" s="81"/>
      <c r="AW13" s="81"/>
      <c r="AX13" s="82"/>
      <c r="AY13" s="81"/>
      <c r="AZ13" s="81"/>
      <c r="BA13" s="81"/>
      <c r="BB13" s="82"/>
      <c r="BC13" s="81"/>
      <c r="BD13" s="81"/>
      <c r="BE13" s="81"/>
      <c r="BF13" s="81"/>
      <c r="BG13" s="83"/>
      <c r="BH13" s="81"/>
      <c r="BI13" s="81"/>
      <c r="BJ13" s="81"/>
      <c r="BK13" s="81"/>
      <c r="BL13" s="83"/>
      <c r="BM13" s="81"/>
      <c r="BN13" s="81"/>
      <c r="BO13" s="81"/>
      <c r="BP13" s="83"/>
      <c r="BQ13" s="81"/>
      <c r="BR13" s="81"/>
      <c r="BS13" s="81"/>
      <c r="BT13" s="81"/>
      <c r="BU13" s="82"/>
      <c r="BV13" s="81"/>
      <c r="BW13" s="81"/>
      <c r="BX13" s="81"/>
      <c r="BY13" s="82"/>
      <c r="BZ13" s="81"/>
      <c r="CA13" s="81"/>
      <c r="CB13" s="81"/>
      <c r="CC13" s="81"/>
      <c r="CD13" s="83"/>
      <c r="CE13" s="81"/>
      <c r="CF13" s="81"/>
      <c r="CG13" s="24"/>
      <c r="CH13" s="25">
        <f t="shared" si="2"/>
        <v>9</v>
      </c>
      <c r="CI13" s="26" t="s">
        <v>380</v>
      </c>
      <c r="CJ13" s="27"/>
      <c r="CK13" s="26"/>
      <c r="CL13" s="30"/>
    </row>
    <row r="14" spans="1:90" ht="12.75">
      <c r="A14" s="176">
        <v>10</v>
      </c>
      <c r="B14" s="177"/>
      <c r="C14" s="178" t="s">
        <v>12</v>
      </c>
      <c r="D14" s="179"/>
      <c r="E14" s="179"/>
      <c r="F14" s="179"/>
      <c r="G14" s="179"/>
      <c r="H14" s="179"/>
      <c r="I14" s="179"/>
      <c r="J14" s="179"/>
      <c r="K14" s="179"/>
      <c r="L14" s="180"/>
      <c r="M14" s="78">
        <v>1</v>
      </c>
      <c r="N14" s="80">
        <v>1</v>
      </c>
      <c r="O14" s="80">
        <v>1</v>
      </c>
      <c r="P14" s="80">
        <v>1</v>
      </c>
      <c r="Q14" s="80">
        <v>1</v>
      </c>
      <c r="R14" s="78">
        <v>1</v>
      </c>
      <c r="S14" s="80">
        <v>1</v>
      </c>
      <c r="T14" s="80">
        <v>1</v>
      </c>
      <c r="U14" s="80">
        <v>1</v>
      </c>
      <c r="V14" s="78">
        <v>1</v>
      </c>
      <c r="W14" s="80">
        <v>1</v>
      </c>
      <c r="X14" s="80">
        <v>1</v>
      </c>
      <c r="Y14" s="80">
        <v>1</v>
      </c>
      <c r="Z14" s="80">
        <v>1</v>
      </c>
      <c r="AA14" s="80">
        <v>1</v>
      </c>
      <c r="AB14" s="81">
        <v>1</v>
      </c>
      <c r="AC14" s="81">
        <v>1</v>
      </c>
      <c r="AD14" s="81">
        <v>1</v>
      </c>
      <c r="AE14" s="82">
        <v>1</v>
      </c>
      <c r="AF14" s="81">
        <v>1</v>
      </c>
      <c r="AG14" s="81">
        <v>1</v>
      </c>
      <c r="AH14" s="81">
        <v>1</v>
      </c>
      <c r="AI14" s="81">
        <v>1</v>
      </c>
      <c r="AJ14" s="83">
        <v>1</v>
      </c>
      <c r="AK14" s="81">
        <v>1</v>
      </c>
      <c r="AL14" s="81"/>
      <c r="AM14" s="81"/>
      <c r="AN14" s="81"/>
      <c r="AO14" s="83"/>
      <c r="AP14" s="81"/>
      <c r="AQ14" s="81"/>
      <c r="AR14" s="81"/>
      <c r="AS14" s="83"/>
      <c r="AT14" s="81"/>
      <c r="AU14" s="81"/>
      <c r="AV14" s="81"/>
      <c r="AW14" s="81"/>
      <c r="AX14" s="82"/>
      <c r="AY14" s="81"/>
      <c r="AZ14" s="81"/>
      <c r="BA14" s="81"/>
      <c r="BB14" s="82"/>
      <c r="BC14" s="81"/>
      <c r="BD14" s="81"/>
      <c r="BE14" s="81"/>
      <c r="BF14" s="81"/>
      <c r="BG14" s="83"/>
      <c r="BH14" s="81"/>
      <c r="BI14" s="81"/>
      <c r="BJ14" s="81"/>
      <c r="BK14" s="81"/>
      <c r="BL14" s="83"/>
      <c r="BM14" s="81"/>
      <c r="BN14" s="81"/>
      <c r="BO14" s="81"/>
      <c r="BP14" s="83"/>
      <c r="BQ14" s="81"/>
      <c r="BR14" s="81"/>
      <c r="BS14" s="81"/>
      <c r="BT14" s="81"/>
      <c r="BU14" s="82"/>
      <c r="BV14" s="81"/>
      <c r="BW14" s="81"/>
      <c r="BX14" s="81"/>
      <c r="BY14" s="82"/>
      <c r="BZ14" s="81"/>
      <c r="CA14" s="81"/>
      <c r="CB14" s="81"/>
      <c r="CC14" s="81"/>
      <c r="CD14" s="83"/>
      <c r="CE14" s="81"/>
      <c r="CF14" s="81"/>
      <c r="CG14" s="24"/>
      <c r="CH14" s="25">
        <f t="shared" si="2"/>
        <v>10</v>
      </c>
      <c r="CI14" s="26" t="s">
        <v>18</v>
      </c>
      <c r="CJ14" s="27"/>
      <c r="CK14" s="26"/>
      <c r="CL14" s="30"/>
    </row>
    <row r="15" spans="1:90" ht="12.75">
      <c r="A15" s="176">
        <v>11</v>
      </c>
      <c r="B15" s="177"/>
      <c r="C15" s="178" t="s">
        <v>13</v>
      </c>
      <c r="D15" s="179"/>
      <c r="E15" s="179"/>
      <c r="F15" s="179"/>
      <c r="G15" s="179"/>
      <c r="H15" s="179"/>
      <c r="I15" s="179"/>
      <c r="J15" s="179"/>
      <c r="K15" s="179"/>
      <c r="L15" s="180"/>
      <c r="M15" s="78"/>
      <c r="N15" s="80"/>
      <c r="O15" s="80"/>
      <c r="P15" s="80"/>
      <c r="Q15" s="80"/>
      <c r="R15" s="78"/>
      <c r="S15" s="80"/>
      <c r="T15" s="80"/>
      <c r="U15" s="80"/>
      <c r="V15" s="78"/>
      <c r="W15" s="80"/>
      <c r="X15" s="80"/>
      <c r="Y15" s="80"/>
      <c r="Z15" s="80"/>
      <c r="AA15" s="80"/>
      <c r="AB15" s="81"/>
      <c r="AC15" s="81"/>
      <c r="AD15" s="81"/>
      <c r="AE15" s="82"/>
      <c r="AF15" s="81"/>
      <c r="AG15" s="81"/>
      <c r="AH15" s="81"/>
      <c r="AI15" s="81"/>
      <c r="AJ15" s="83"/>
      <c r="AK15" s="81"/>
      <c r="AL15" s="81"/>
      <c r="AM15" s="81"/>
      <c r="AN15" s="81"/>
      <c r="AO15" s="83"/>
      <c r="AP15" s="81"/>
      <c r="AQ15" s="81"/>
      <c r="AR15" s="81"/>
      <c r="AS15" s="83"/>
      <c r="AT15" s="81"/>
      <c r="AU15" s="81"/>
      <c r="AV15" s="81"/>
      <c r="AW15" s="81"/>
      <c r="AX15" s="82"/>
      <c r="AY15" s="81"/>
      <c r="AZ15" s="81"/>
      <c r="BA15" s="81"/>
      <c r="BB15" s="82"/>
      <c r="BC15" s="81"/>
      <c r="BD15" s="81"/>
      <c r="BE15" s="81"/>
      <c r="BF15" s="81"/>
      <c r="BG15" s="83"/>
      <c r="BH15" s="81"/>
      <c r="BI15" s="81"/>
      <c r="BJ15" s="81"/>
      <c r="BK15" s="81"/>
      <c r="BL15" s="83"/>
      <c r="BM15" s="81"/>
      <c r="BN15" s="81"/>
      <c r="BO15" s="81"/>
      <c r="BP15" s="83"/>
      <c r="BQ15" s="81"/>
      <c r="BR15" s="81"/>
      <c r="BS15" s="81"/>
      <c r="BT15" s="81"/>
      <c r="BU15" s="82"/>
      <c r="BV15" s="81"/>
      <c r="BW15" s="81"/>
      <c r="BX15" s="81"/>
      <c r="BY15" s="82"/>
      <c r="BZ15" s="81"/>
      <c r="CA15" s="81"/>
      <c r="CB15" s="81"/>
      <c r="CC15" s="81"/>
      <c r="CD15" s="83"/>
      <c r="CE15" s="81"/>
      <c r="CF15" s="81"/>
      <c r="CG15" s="24"/>
      <c r="CH15" s="25">
        <f t="shared" si="2"/>
        <v>11</v>
      </c>
      <c r="CI15" s="26" t="s">
        <v>381</v>
      </c>
      <c r="CJ15" s="27"/>
      <c r="CK15" s="26"/>
      <c r="CL15" s="30"/>
    </row>
    <row r="16" spans="1:90" ht="26.45" customHeight="1">
      <c r="A16" s="176">
        <v>12</v>
      </c>
      <c r="B16" s="177"/>
      <c r="C16" s="178" t="s">
        <v>14</v>
      </c>
      <c r="D16" s="179"/>
      <c r="E16" s="179"/>
      <c r="F16" s="179"/>
      <c r="G16" s="179"/>
      <c r="H16" s="179"/>
      <c r="I16" s="179"/>
      <c r="J16" s="179"/>
      <c r="K16" s="179"/>
      <c r="L16" s="180"/>
      <c r="M16" s="79">
        <v>1</v>
      </c>
      <c r="N16" s="80">
        <v>1</v>
      </c>
      <c r="O16" s="80">
        <v>1</v>
      </c>
      <c r="P16" s="80">
        <v>1</v>
      </c>
      <c r="Q16" s="80">
        <v>1</v>
      </c>
      <c r="R16" s="78">
        <v>1</v>
      </c>
      <c r="S16" s="80">
        <v>1</v>
      </c>
      <c r="T16" s="80">
        <v>1</v>
      </c>
      <c r="U16" s="80">
        <v>1</v>
      </c>
      <c r="V16" s="78">
        <v>1</v>
      </c>
      <c r="W16" s="80">
        <v>1</v>
      </c>
      <c r="X16" s="80">
        <v>1</v>
      </c>
      <c r="Y16" s="80">
        <v>1</v>
      </c>
      <c r="Z16" s="80">
        <v>1</v>
      </c>
      <c r="AA16" s="80">
        <v>1</v>
      </c>
      <c r="AB16" s="81">
        <v>1</v>
      </c>
      <c r="AC16" s="81">
        <v>1</v>
      </c>
      <c r="AD16" s="81">
        <v>1</v>
      </c>
      <c r="AE16" s="82">
        <v>1</v>
      </c>
      <c r="AF16" s="81">
        <v>1</v>
      </c>
      <c r="AG16" s="81">
        <v>1</v>
      </c>
      <c r="AH16" s="81">
        <v>1</v>
      </c>
      <c r="AI16" s="81">
        <v>1</v>
      </c>
      <c r="AJ16" s="83">
        <v>1</v>
      </c>
      <c r="AK16" s="81">
        <v>1</v>
      </c>
      <c r="AL16" s="81"/>
      <c r="AM16" s="81"/>
      <c r="AN16" s="81"/>
      <c r="AO16" s="83"/>
      <c r="AP16" s="81"/>
      <c r="AQ16" s="81"/>
      <c r="AR16" s="81"/>
      <c r="AS16" s="83"/>
      <c r="AT16" s="81"/>
      <c r="AU16" s="81"/>
      <c r="AV16" s="81"/>
      <c r="AW16" s="81"/>
      <c r="AX16" s="82"/>
      <c r="AY16" s="81"/>
      <c r="AZ16" s="81"/>
      <c r="BA16" s="81"/>
      <c r="BB16" s="82"/>
      <c r="BC16" s="81"/>
      <c r="BD16" s="81"/>
      <c r="BE16" s="81"/>
      <c r="BF16" s="81"/>
      <c r="BG16" s="83"/>
      <c r="BH16" s="81"/>
      <c r="BI16" s="81"/>
      <c r="BJ16" s="81"/>
      <c r="BK16" s="81"/>
      <c r="BL16" s="83"/>
      <c r="BM16" s="81"/>
      <c r="BN16" s="81"/>
      <c r="BO16" s="81"/>
      <c r="BP16" s="83"/>
      <c r="BQ16" s="81"/>
      <c r="BR16" s="81"/>
      <c r="BS16" s="81"/>
      <c r="BT16" s="81"/>
      <c r="BU16" s="82"/>
      <c r="BV16" s="81"/>
      <c r="BW16" s="81"/>
      <c r="BX16" s="81"/>
      <c r="BY16" s="82"/>
      <c r="BZ16" s="81"/>
      <c r="CA16" s="81"/>
      <c r="CB16" s="81"/>
      <c r="CC16" s="81"/>
      <c r="CD16" s="83"/>
      <c r="CE16" s="81"/>
      <c r="CF16" s="81"/>
      <c r="CG16" s="24"/>
      <c r="CH16" s="25">
        <f t="shared" si="2"/>
        <v>12</v>
      </c>
      <c r="CI16" s="26" t="s">
        <v>382</v>
      </c>
      <c r="CJ16" s="27"/>
      <c r="CK16" s="26"/>
      <c r="CL16" s="30"/>
    </row>
    <row r="17" spans="1:90" ht="26.45" customHeight="1">
      <c r="A17" s="176">
        <v>13</v>
      </c>
      <c r="B17" s="177"/>
      <c r="C17" s="200" t="s">
        <v>15</v>
      </c>
      <c r="D17" s="201"/>
      <c r="E17" s="201"/>
      <c r="F17" s="201"/>
      <c r="G17" s="201"/>
      <c r="H17" s="201"/>
      <c r="I17" s="201"/>
      <c r="J17" s="201"/>
      <c r="K17" s="201"/>
      <c r="L17" s="202"/>
      <c r="M17" s="78"/>
      <c r="N17" s="80"/>
      <c r="O17" s="80"/>
      <c r="P17" s="80"/>
      <c r="Q17" s="80"/>
      <c r="R17" s="78"/>
      <c r="S17" s="80"/>
      <c r="T17" s="80"/>
      <c r="U17" s="80"/>
      <c r="V17" s="78"/>
      <c r="W17" s="80"/>
      <c r="X17" s="80"/>
      <c r="Y17" s="80"/>
      <c r="Z17" s="80"/>
      <c r="AA17" s="80"/>
      <c r="AB17" s="81"/>
      <c r="AC17" s="81"/>
      <c r="AD17" s="81"/>
      <c r="AE17" s="82"/>
      <c r="AF17" s="81"/>
      <c r="AG17" s="81"/>
      <c r="AH17" s="81"/>
      <c r="AI17" s="81"/>
      <c r="AJ17" s="77"/>
      <c r="AK17" s="75"/>
      <c r="AL17" s="75"/>
      <c r="AM17" s="75"/>
      <c r="AN17" s="75"/>
      <c r="AO17" s="77"/>
      <c r="AP17" s="75"/>
      <c r="AQ17" s="75"/>
      <c r="AR17" s="75"/>
      <c r="AS17" s="77"/>
      <c r="AT17" s="75"/>
      <c r="AU17" s="75"/>
      <c r="AV17" s="75"/>
      <c r="AW17" s="75"/>
      <c r="AX17" s="82"/>
      <c r="AY17" s="81"/>
      <c r="AZ17" s="81"/>
      <c r="BA17" s="81"/>
      <c r="BB17" s="82"/>
      <c r="BC17" s="81"/>
      <c r="BD17" s="81"/>
      <c r="BE17" s="81"/>
      <c r="BF17" s="81"/>
      <c r="BG17" s="77"/>
      <c r="BH17" s="75"/>
      <c r="BI17" s="75"/>
      <c r="BJ17" s="75"/>
      <c r="BK17" s="75"/>
      <c r="BL17" s="77"/>
      <c r="BM17" s="75"/>
      <c r="BN17" s="75"/>
      <c r="BO17" s="75"/>
      <c r="BP17" s="77"/>
      <c r="BQ17" s="75"/>
      <c r="BR17" s="75"/>
      <c r="BS17" s="75"/>
      <c r="BT17" s="75"/>
      <c r="BU17" s="82"/>
      <c r="BV17" s="81"/>
      <c r="BW17" s="81"/>
      <c r="BX17" s="81"/>
      <c r="BY17" s="82"/>
      <c r="BZ17" s="81"/>
      <c r="CA17" s="81"/>
      <c r="CB17" s="81"/>
      <c r="CC17" s="81"/>
      <c r="CD17" s="77"/>
      <c r="CE17" s="75"/>
      <c r="CF17" s="75"/>
      <c r="CG17" s="24"/>
      <c r="CH17" s="25">
        <f t="shared" si="2"/>
        <v>13</v>
      </c>
      <c r="CI17" s="26" t="s">
        <v>383</v>
      </c>
      <c r="CJ17" s="28"/>
      <c r="CK17" s="25"/>
      <c r="CL17" s="30"/>
    </row>
    <row r="18" spans="1:90" ht="26.45" customHeight="1">
      <c r="A18" s="176">
        <v>14</v>
      </c>
      <c r="B18" s="177"/>
      <c r="C18" s="200" t="s">
        <v>16</v>
      </c>
      <c r="D18" s="201"/>
      <c r="E18" s="201"/>
      <c r="F18" s="201"/>
      <c r="G18" s="201"/>
      <c r="H18" s="201"/>
      <c r="I18" s="201"/>
      <c r="J18" s="201"/>
      <c r="K18" s="201"/>
      <c r="L18" s="202"/>
      <c r="M18" s="78"/>
      <c r="N18" s="80"/>
      <c r="O18" s="80"/>
      <c r="P18" s="80"/>
      <c r="Q18" s="80"/>
      <c r="R18" s="78"/>
      <c r="S18" s="80"/>
      <c r="T18" s="80"/>
      <c r="U18" s="80"/>
      <c r="V18" s="78"/>
      <c r="W18" s="80"/>
      <c r="X18" s="80"/>
      <c r="Y18" s="80"/>
      <c r="Z18" s="80"/>
      <c r="AA18" s="80"/>
      <c r="AB18" s="75"/>
      <c r="AC18" s="75"/>
      <c r="AD18" s="75"/>
      <c r="AE18" s="76"/>
      <c r="AF18" s="75"/>
      <c r="AG18" s="75"/>
      <c r="AH18" s="75"/>
      <c r="AI18" s="75"/>
      <c r="AJ18" s="77"/>
      <c r="AK18" s="75"/>
      <c r="AL18" s="75"/>
      <c r="AM18" s="75"/>
      <c r="AN18" s="75"/>
      <c r="AO18" s="77"/>
      <c r="AP18" s="75"/>
      <c r="AQ18" s="75"/>
      <c r="AR18" s="75"/>
      <c r="AS18" s="77"/>
      <c r="AT18" s="75"/>
      <c r="AU18" s="75"/>
      <c r="AV18" s="75"/>
      <c r="AW18" s="75"/>
      <c r="AX18" s="76"/>
      <c r="AY18" s="75"/>
      <c r="AZ18" s="75"/>
      <c r="BA18" s="75"/>
      <c r="BB18" s="76"/>
      <c r="BC18" s="75"/>
      <c r="BD18" s="75"/>
      <c r="BE18" s="75"/>
      <c r="BF18" s="75"/>
      <c r="BG18" s="77"/>
      <c r="BH18" s="75"/>
      <c r="BI18" s="75"/>
      <c r="BJ18" s="75"/>
      <c r="BK18" s="75"/>
      <c r="BL18" s="77"/>
      <c r="BM18" s="75"/>
      <c r="BN18" s="75"/>
      <c r="BO18" s="75"/>
      <c r="BP18" s="77"/>
      <c r="BQ18" s="75"/>
      <c r="BR18" s="75"/>
      <c r="BS18" s="75"/>
      <c r="BT18" s="75"/>
      <c r="BU18" s="76"/>
      <c r="BV18" s="75"/>
      <c r="BW18" s="75"/>
      <c r="BX18" s="75"/>
      <c r="BY18" s="76"/>
      <c r="BZ18" s="75"/>
      <c r="CA18" s="75"/>
      <c r="CB18" s="75"/>
      <c r="CC18" s="75"/>
      <c r="CD18" s="77"/>
      <c r="CE18" s="75"/>
      <c r="CF18" s="75"/>
      <c r="CG18" s="24"/>
      <c r="CH18" s="25">
        <f t="shared" si="2"/>
        <v>14</v>
      </c>
      <c r="CI18" s="26" t="s">
        <v>384</v>
      </c>
      <c r="CJ18" s="28"/>
      <c r="CK18" s="25"/>
      <c r="CL18" s="30"/>
    </row>
    <row r="19" spans="1:90" ht="26.45" customHeight="1">
      <c r="A19" s="176">
        <v>15</v>
      </c>
      <c r="B19" s="177"/>
      <c r="C19" s="200" t="s">
        <v>17</v>
      </c>
      <c r="D19" s="201"/>
      <c r="E19" s="201"/>
      <c r="F19" s="201"/>
      <c r="G19" s="201"/>
      <c r="H19" s="201"/>
      <c r="I19" s="201"/>
      <c r="J19" s="201"/>
      <c r="K19" s="201"/>
      <c r="L19" s="202"/>
      <c r="M19" s="78"/>
      <c r="N19" s="80"/>
      <c r="O19" s="80"/>
      <c r="P19" s="80"/>
      <c r="Q19" s="80"/>
      <c r="R19" s="80"/>
      <c r="S19" s="80"/>
      <c r="T19" s="80"/>
      <c r="U19" s="80"/>
      <c r="V19" s="78"/>
      <c r="W19" s="80">
        <v>1</v>
      </c>
      <c r="X19" s="80"/>
      <c r="Y19" s="80"/>
      <c r="Z19" s="80"/>
      <c r="AA19" s="80"/>
      <c r="AB19" s="81"/>
      <c r="AC19" s="81"/>
      <c r="AD19" s="81"/>
      <c r="AE19" s="82"/>
      <c r="AF19" s="81"/>
      <c r="AG19" s="81"/>
      <c r="AH19" s="81"/>
      <c r="AI19" s="81"/>
      <c r="AJ19" s="83"/>
      <c r="AK19" s="81"/>
      <c r="AL19" s="81"/>
      <c r="AM19" s="81"/>
      <c r="AN19" s="81"/>
      <c r="AO19" s="83"/>
      <c r="AP19" s="81"/>
      <c r="AQ19" s="81"/>
      <c r="AR19" s="81"/>
      <c r="AS19" s="83"/>
      <c r="AT19" s="81"/>
      <c r="AU19" s="81"/>
      <c r="AV19" s="81"/>
      <c r="AW19" s="81"/>
      <c r="AX19" s="82"/>
      <c r="AY19" s="81"/>
      <c r="AZ19" s="81"/>
      <c r="BA19" s="81"/>
      <c r="BB19" s="82"/>
      <c r="BC19" s="81"/>
      <c r="BD19" s="81"/>
      <c r="BE19" s="81"/>
      <c r="BF19" s="81"/>
      <c r="BG19" s="83"/>
      <c r="BH19" s="81"/>
      <c r="BI19" s="81"/>
      <c r="BJ19" s="81"/>
      <c r="BK19" s="81"/>
      <c r="BL19" s="83"/>
      <c r="BM19" s="81"/>
      <c r="BN19" s="81"/>
      <c r="BO19" s="81"/>
      <c r="BP19" s="83"/>
      <c r="BQ19" s="81"/>
      <c r="BR19" s="81"/>
      <c r="BS19" s="81"/>
      <c r="BT19" s="81"/>
      <c r="BU19" s="82"/>
      <c r="BV19" s="81"/>
      <c r="BW19" s="81"/>
      <c r="BX19" s="81"/>
      <c r="BY19" s="82"/>
      <c r="BZ19" s="81"/>
      <c r="CA19" s="81"/>
      <c r="CB19" s="81"/>
      <c r="CC19" s="81"/>
      <c r="CD19" s="83"/>
      <c r="CE19" s="81"/>
      <c r="CF19" s="81"/>
      <c r="CG19" s="24"/>
      <c r="CH19" s="25">
        <f t="shared" si="2"/>
        <v>15</v>
      </c>
      <c r="CI19" s="26" t="s">
        <v>386</v>
      </c>
      <c r="CJ19" s="28"/>
      <c r="CK19" s="25"/>
      <c r="CL19" s="30"/>
    </row>
    <row r="20" spans="1:90" ht="26.45" customHeight="1">
      <c r="A20" s="176">
        <v>16</v>
      </c>
      <c r="B20" s="177"/>
      <c r="C20" s="178" t="s">
        <v>19</v>
      </c>
      <c r="D20" s="179"/>
      <c r="E20" s="179"/>
      <c r="F20" s="179"/>
      <c r="G20" s="179"/>
      <c r="H20" s="179"/>
      <c r="I20" s="179"/>
      <c r="J20" s="179"/>
      <c r="K20" s="179"/>
      <c r="L20" s="180"/>
      <c r="M20" s="78"/>
      <c r="N20" s="80"/>
      <c r="O20" s="80"/>
      <c r="P20" s="80"/>
      <c r="Q20" s="80"/>
      <c r="R20" s="78"/>
      <c r="S20" s="80"/>
      <c r="T20" s="80"/>
      <c r="U20" s="80"/>
      <c r="V20" s="78"/>
      <c r="W20" s="80"/>
      <c r="X20" s="80"/>
      <c r="Y20" s="80"/>
      <c r="Z20" s="80"/>
      <c r="AA20" s="80"/>
      <c r="AB20" s="81"/>
      <c r="AC20" s="81"/>
      <c r="AD20" s="81"/>
      <c r="AE20" s="82"/>
      <c r="AF20" s="81"/>
      <c r="AG20" s="81"/>
      <c r="AH20" s="81"/>
      <c r="AI20" s="81"/>
      <c r="AJ20" s="83"/>
      <c r="AK20" s="81"/>
      <c r="AL20" s="81"/>
      <c r="AM20" s="81"/>
      <c r="AN20" s="81"/>
      <c r="AO20" s="83"/>
      <c r="AP20" s="81"/>
      <c r="AQ20" s="81"/>
      <c r="AR20" s="81"/>
      <c r="AS20" s="83"/>
      <c r="AT20" s="81"/>
      <c r="AU20" s="81"/>
      <c r="AV20" s="81"/>
      <c r="AW20" s="81"/>
      <c r="AX20" s="82"/>
      <c r="AY20" s="81"/>
      <c r="AZ20" s="81"/>
      <c r="BA20" s="81"/>
      <c r="BB20" s="82"/>
      <c r="BC20" s="81"/>
      <c r="BD20" s="81"/>
      <c r="BE20" s="81"/>
      <c r="BF20" s="81"/>
      <c r="BG20" s="83"/>
      <c r="BH20" s="81"/>
      <c r="BI20" s="81"/>
      <c r="BJ20" s="81"/>
      <c r="BK20" s="81"/>
      <c r="BL20" s="83"/>
      <c r="BM20" s="81"/>
      <c r="BN20" s="81"/>
      <c r="BO20" s="81"/>
      <c r="BP20" s="83"/>
      <c r="BQ20" s="81"/>
      <c r="BR20" s="81"/>
      <c r="BS20" s="81"/>
      <c r="BT20" s="81"/>
      <c r="BU20" s="82"/>
      <c r="BV20" s="81"/>
      <c r="BW20" s="81"/>
      <c r="BX20" s="81"/>
      <c r="BY20" s="82"/>
      <c r="BZ20" s="81"/>
      <c r="CA20" s="81"/>
      <c r="CB20" s="81"/>
      <c r="CC20" s="81"/>
      <c r="CD20" s="83"/>
      <c r="CE20" s="81"/>
      <c r="CF20" s="81"/>
      <c r="CG20" s="24"/>
      <c r="CH20" s="25">
        <f t="shared" si="2"/>
        <v>16</v>
      </c>
      <c r="CI20" s="26" t="s">
        <v>385</v>
      </c>
      <c r="CJ20" s="28"/>
      <c r="CK20" s="25"/>
      <c r="CL20" s="30"/>
    </row>
    <row r="21" spans="1:90" ht="26.45" customHeight="1">
      <c r="A21" s="176">
        <v>17</v>
      </c>
      <c r="B21" s="177"/>
      <c r="C21" s="178" t="s">
        <v>20</v>
      </c>
      <c r="D21" s="179"/>
      <c r="E21" s="179"/>
      <c r="F21" s="179"/>
      <c r="G21" s="179"/>
      <c r="H21" s="179"/>
      <c r="I21" s="179"/>
      <c r="J21" s="179"/>
      <c r="K21" s="179"/>
      <c r="L21" s="180"/>
      <c r="M21" s="78"/>
      <c r="N21" s="80">
        <v>1</v>
      </c>
      <c r="O21" s="80">
        <v>1</v>
      </c>
      <c r="P21" s="80"/>
      <c r="Q21" s="80"/>
      <c r="R21" s="78"/>
      <c r="S21" s="80"/>
      <c r="T21" s="80"/>
      <c r="U21" s="80"/>
      <c r="V21" s="78"/>
      <c r="W21" s="80"/>
      <c r="X21" s="80"/>
      <c r="Y21" s="80"/>
      <c r="Z21" s="80"/>
      <c r="AA21" s="80"/>
      <c r="AB21" s="81"/>
      <c r="AC21" s="81"/>
      <c r="AD21" s="81"/>
      <c r="AE21" s="82"/>
      <c r="AF21" s="81"/>
      <c r="AG21" s="81"/>
      <c r="AH21" s="81"/>
      <c r="AI21" s="81"/>
      <c r="AJ21" s="83"/>
      <c r="AK21" s="81"/>
      <c r="AL21" s="81"/>
      <c r="AM21" s="81"/>
      <c r="AN21" s="81"/>
      <c r="AO21" s="83"/>
      <c r="AP21" s="81"/>
      <c r="AQ21" s="81"/>
      <c r="AR21" s="81"/>
      <c r="AS21" s="83"/>
      <c r="AT21" s="81"/>
      <c r="AU21" s="81"/>
      <c r="AV21" s="81"/>
      <c r="AW21" s="81"/>
      <c r="AX21" s="82"/>
      <c r="AY21" s="81"/>
      <c r="AZ21" s="81"/>
      <c r="BA21" s="81"/>
      <c r="BB21" s="82"/>
      <c r="BC21" s="81"/>
      <c r="BD21" s="81"/>
      <c r="BE21" s="81"/>
      <c r="BF21" s="81"/>
      <c r="BG21" s="83"/>
      <c r="BH21" s="81"/>
      <c r="BI21" s="81"/>
      <c r="BJ21" s="81"/>
      <c r="BK21" s="81"/>
      <c r="BL21" s="83"/>
      <c r="BM21" s="81"/>
      <c r="BN21" s="81"/>
      <c r="BO21" s="81"/>
      <c r="BP21" s="83"/>
      <c r="BQ21" s="81"/>
      <c r="BR21" s="81"/>
      <c r="BS21" s="81"/>
      <c r="BT21" s="81"/>
      <c r="BU21" s="82"/>
      <c r="BV21" s="81"/>
      <c r="BW21" s="81"/>
      <c r="BX21" s="81"/>
      <c r="BY21" s="82"/>
      <c r="BZ21" s="81"/>
      <c r="CA21" s="81"/>
      <c r="CB21" s="81"/>
      <c r="CC21" s="81"/>
      <c r="CD21" s="83"/>
      <c r="CE21" s="81"/>
      <c r="CF21" s="81"/>
      <c r="CG21" s="24"/>
      <c r="CH21" s="25">
        <f t="shared" si="2"/>
        <v>17</v>
      </c>
      <c r="CI21" s="26" t="s">
        <v>387</v>
      </c>
      <c r="CJ21" s="28"/>
      <c r="CK21" s="25"/>
      <c r="CL21" s="30"/>
    </row>
    <row r="22" spans="1:90" ht="12.75">
      <c r="A22" s="176">
        <v>18</v>
      </c>
      <c r="B22" s="177"/>
      <c r="C22" s="200" t="s">
        <v>21</v>
      </c>
      <c r="D22" s="201"/>
      <c r="E22" s="201"/>
      <c r="F22" s="201"/>
      <c r="G22" s="201"/>
      <c r="H22" s="201"/>
      <c r="I22" s="201"/>
      <c r="J22" s="201"/>
      <c r="K22" s="201"/>
      <c r="L22" s="202"/>
      <c r="M22" s="78"/>
      <c r="N22" s="80"/>
      <c r="O22" s="80"/>
      <c r="P22" s="80"/>
      <c r="Q22" s="80"/>
      <c r="R22" s="78"/>
      <c r="S22" s="80"/>
      <c r="T22" s="80"/>
      <c r="U22" s="80"/>
      <c r="V22" s="78"/>
      <c r="W22" s="80"/>
      <c r="X22" s="80"/>
      <c r="Y22" s="80"/>
      <c r="Z22" s="80"/>
      <c r="AA22" s="80"/>
      <c r="AB22" s="81"/>
      <c r="AC22" s="81"/>
      <c r="AD22" s="81"/>
      <c r="AE22" s="82"/>
      <c r="AF22" s="81"/>
      <c r="AG22" s="81"/>
      <c r="AH22" s="81"/>
      <c r="AI22" s="81"/>
      <c r="AJ22" s="83"/>
      <c r="AK22" s="81"/>
      <c r="AL22" s="81"/>
      <c r="AM22" s="81"/>
      <c r="AN22" s="81"/>
      <c r="AO22" s="83"/>
      <c r="AP22" s="81"/>
      <c r="AQ22" s="81"/>
      <c r="AR22" s="81"/>
      <c r="AS22" s="83"/>
      <c r="AT22" s="81"/>
      <c r="AU22" s="81"/>
      <c r="AV22" s="81"/>
      <c r="AW22" s="81"/>
      <c r="AX22" s="82"/>
      <c r="AY22" s="81"/>
      <c r="AZ22" s="81"/>
      <c r="BA22" s="81"/>
      <c r="BB22" s="82"/>
      <c r="BC22" s="81"/>
      <c r="BD22" s="81"/>
      <c r="BE22" s="81"/>
      <c r="BF22" s="81"/>
      <c r="BG22" s="83"/>
      <c r="BH22" s="81"/>
      <c r="BI22" s="81"/>
      <c r="BJ22" s="81"/>
      <c r="BK22" s="81"/>
      <c r="BL22" s="83"/>
      <c r="BM22" s="81"/>
      <c r="BN22" s="81"/>
      <c r="BO22" s="81"/>
      <c r="BP22" s="83"/>
      <c r="BQ22" s="81"/>
      <c r="BR22" s="81"/>
      <c r="BS22" s="81"/>
      <c r="BT22" s="81"/>
      <c r="BU22" s="82"/>
      <c r="BV22" s="81"/>
      <c r="BW22" s="81"/>
      <c r="BX22" s="81"/>
      <c r="BY22" s="82"/>
      <c r="BZ22" s="81"/>
      <c r="CA22" s="81"/>
      <c r="CB22" s="81"/>
      <c r="CC22" s="81"/>
      <c r="CD22" s="83"/>
      <c r="CE22" s="81"/>
      <c r="CF22" s="81"/>
      <c r="CG22" s="24"/>
      <c r="CH22" s="25">
        <f t="shared" si="2"/>
        <v>18</v>
      </c>
      <c r="CI22" s="26" t="s">
        <v>388</v>
      </c>
      <c r="CJ22" s="28"/>
      <c r="CK22" s="25"/>
      <c r="CL22" s="30"/>
    </row>
    <row r="23" spans="1:90" ht="26.45" customHeight="1">
      <c r="A23" s="176">
        <v>19</v>
      </c>
      <c r="B23" s="177"/>
      <c r="C23" s="200" t="s">
        <v>22</v>
      </c>
      <c r="D23" s="201"/>
      <c r="E23" s="201"/>
      <c r="F23" s="201"/>
      <c r="G23" s="201"/>
      <c r="H23" s="201"/>
      <c r="I23" s="201"/>
      <c r="J23" s="201"/>
      <c r="K23" s="201"/>
      <c r="L23" s="202"/>
      <c r="M23" s="78"/>
      <c r="N23" s="80"/>
      <c r="O23" s="80"/>
      <c r="P23" s="80"/>
      <c r="Q23" s="80"/>
      <c r="R23" s="78"/>
      <c r="S23" s="80"/>
      <c r="T23" s="80"/>
      <c r="U23" s="80"/>
      <c r="V23" s="78"/>
      <c r="W23" s="80"/>
      <c r="X23" s="80"/>
      <c r="Y23" s="80"/>
      <c r="Z23" s="80"/>
      <c r="AA23" s="80"/>
      <c r="AB23" s="81"/>
      <c r="AC23" s="81"/>
      <c r="AD23" s="81"/>
      <c r="AE23" s="82"/>
      <c r="AF23" s="81"/>
      <c r="AG23" s="81"/>
      <c r="AH23" s="81"/>
      <c r="AI23" s="81"/>
      <c r="AJ23" s="83"/>
      <c r="AK23" s="81"/>
      <c r="AL23" s="81"/>
      <c r="AM23" s="81"/>
      <c r="AN23" s="81"/>
      <c r="AO23" s="83"/>
      <c r="AP23" s="81"/>
      <c r="AQ23" s="81"/>
      <c r="AR23" s="81"/>
      <c r="AS23" s="83"/>
      <c r="AT23" s="81"/>
      <c r="AU23" s="81"/>
      <c r="AV23" s="81"/>
      <c r="AW23" s="81"/>
      <c r="AX23" s="82"/>
      <c r="AY23" s="81"/>
      <c r="AZ23" s="81"/>
      <c r="BA23" s="81"/>
      <c r="BB23" s="82"/>
      <c r="BC23" s="81"/>
      <c r="BD23" s="81"/>
      <c r="BE23" s="81"/>
      <c r="BF23" s="81"/>
      <c r="BG23" s="83"/>
      <c r="BH23" s="81"/>
      <c r="BI23" s="81"/>
      <c r="BJ23" s="81"/>
      <c r="BK23" s="81"/>
      <c r="BL23" s="83"/>
      <c r="BM23" s="81"/>
      <c r="BN23" s="81"/>
      <c r="BO23" s="81"/>
      <c r="BP23" s="83"/>
      <c r="BQ23" s="81"/>
      <c r="BR23" s="81"/>
      <c r="BS23" s="81"/>
      <c r="BT23" s="81"/>
      <c r="BU23" s="82"/>
      <c r="BV23" s="81"/>
      <c r="BW23" s="81"/>
      <c r="BX23" s="81"/>
      <c r="BY23" s="82"/>
      <c r="BZ23" s="81"/>
      <c r="CA23" s="81"/>
      <c r="CB23" s="81"/>
      <c r="CC23" s="81"/>
      <c r="CD23" s="83"/>
      <c r="CE23" s="81"/>
      <c r="CF23" s="81"/>
      <c r="CG23" s="24"/>
      <c r="CH23" s="25">
        <f t="shared" si="2"/>
        <v>19</v>
      </c>
      <c r="CI23" s="26" t="s">
        <v>389</v>
      </c>
      <c r="CJ23" s="28"/>
      <c r="CK23" s="25"/>
      <c r="CL23" s="30"/>
    </row>
    <row r="24" spans="1:90" ht="26.45" customHeight="1">
      <c r="A24" s="176">
        <v>20</v>
      </c>
      <c r="B24" s="177"/>
      <c r="C24" s="206" t="s">
        <v>23</v>
      </c>
      <c r="D24" s="207"/>
      <c r="E24" s="207"/>
      <c r="F24" s="207"/>
      <c r="G24" s="207"/>
      <c r="H24" s="207"/>
      <c r="I24" s="207"/>
      <c r="J24" s="207"/>
      <c r="K24" s="207"/>
      <c r="L24" s="208"/>
      <c r="M24" s="78"/>
      <c r="N24" s="80"/>
      <c r="O24" s="80"/>
      <c r="P24" s="80"/>
      <c r="Q24" s="80"/>
      <c r="R24" s="78"/>
      <c r="S24" s="80"/>
      <c r="T24" s="80"/>
      <c r="U24" s="80"/>
      <c r="V24" s="78"/>
      <c r="W24" s="80"/>
      <c r="X24" s="80"/>
      <c r="Y24" s="80"/>
      <c r="Z24" s="80"/>
      <c r="AA24" s="80"/>
      <c r="AB24" s="81"/>
      <c r="AC24" s="81"/>
      <c r="AD24" s="81"/>
      <c r="AE24" s="82"/>
      <c r="AF24" s="81"/>
      <c r="AG24" s="81"/>
      <c r="AH24" s="81"/>
      <c r="AI24" s="81"/>
      <c r="AJ24" s="83"/>
      <c r="AK24" s="81"/>
      <c r="AL24" s="81"/>
      <c r="AM24" s="81"/>
      <c r="AN24" s="81"/>
      <c r="AO24" s="83"/>
      <c r="AP24" s="81"/>
      <c r="AQ24" s="81"/>
      <c r="AR24" s="81"/>
      <c r="AS24" s="83"/>
      <c r="AT24" s="81"/>
      <c r="AU24" s="81"/>
      <c r="AV24" s="81"/>
      <c r="AW24" s="81"/>
      <c r="AX24" s="82"/>
      <c r="AY24" s="81"/>
      <c r="AZ24" s="81"/>
      <c r="BA24" s="81"/>
      <c r="BB24" s="82"/>
      <c r="BC24" s="81"/>
      <c r="BD24" s="81"/>
      <c r="BE24" s="81"/>
      <c r="BF24" s="81"/>
      <c r="BG24" s="83"/>
      <c r="BH24" s="81"/>
      <c r="BI24" s="81"/>
      <c r="BJ24" s="81"/>
      <c r="BK24" s="81"/>
      <c r="BL24" s="83"/>
      <c r="BM24" s="81"/>
      <c r="BN24" s="81"/>
      <c r="BO24" s="81"/>
      <c r="BP24" s="83"/>
      <c r="BQ24" s="81"/>
      <c r="BR24" s="81"/>
      <c r="BS24" s="81"/>
      <c r="BT24" s="81"/>
      <c r="BU24" s="82"/>
      <c r="BV24" s="81"/>
      <c r="BW24" s="81"/>
      <c r="BX24" s="81"/>
      <c r="BY24" s="82"/>
      <c r="BZ24" s="81"/>
      <c r="CA24" s="81"/>
      <c r="CB24" s="81"/>
      <c r="CC24" s="81"/>
      <c r="CD24" s="83"/>
      <c r="CE24" s="81"/>
      <c r="CF24" s="81"/>
      <c r="CG24" s="24"/>
      <c r="CH24" s="25">
        <f t="shared" si="2"/>
        <v>20</v>
      </c>
      <c r="CI24" s="26" t="s">
        <v>390</v>
      </c>
      <c r="CJ24" s="28"/>
      <c r="CK24" s="25"/>
      <c r="CL24" s="30"/>
    </row>
    <row r="25" spans="1:90" ht="12.75">
      <c r="A25" s="176">
        <f t="shared" ref="A25:A64" si="3">A24+1</f>
        <v>21</v>
      </c>
      <c r="B25" s="177"/>
      <c r="C25" s="200" t="s">
        <v>24</v>
      </c>
      <c r="D25" s="201"/>
      <c r="E25" s="201"/>
      <c r="F25" s="201"/>
      <c r="G25" s="201"/>
      <c r="H25" s="201"/>
      <c r="I25" s="201"/>
      <c r="J25" s="201"/>
      <c r="K25" s="201"/>
      <c r="L25" s="202"/>
      <c r="M25" s="78"/>
      <c r="N25" s="80"/>
      <c r="O25" s="80"/>
      <c r="P25" s="80"/>
      <c r="Q25" s="80"/>
      <c r="R25" s="78"/>
      <c r="S25" s="80"/>
      <c r="T25" s="80"/>
      <c r="U25" s="80"/>
      <c r="V25" s="78"/>
      <c r="W25" s="80"/>
      <c r="X25" s="80"/>
      <c r="Y25" s="80"/>
      <c r="Z25" s="80"/>
      <c r="AA25" s="80"/>
      <c r="AB25" s="81"/>
      <c r="AC25" s="81"/>
      <c r="AD25" s="81"/>
      <c r="AE25" s="82"/>
      <c r="AF25" s="81"/>
      <c r="AG25" s="81"/>
      <c r="AH25" s="81"/>
      <c r="AI25" s="81"/>
      <c r="AJ25" s="83"/>
      <c r="AK25" s="81"/>
      <c r="AL25" s="81"/>
      <c r="AM25" s="81"/>
      <c r="AN25" s="81"/>
      <c r="AO25" s="83"/>
      <c r="AP25" s="81"/>
      <c r="AQ25" s="81"/>
      <c r="AR25" s="81"/>
      <c r="AS25" s="83"/>
      <c r="AT25" s="81"/>
      <c r="AU25" s="81"/>
      <c r="AV25" s="81"/>
      <c r="AW25" s="81"/>
      <c r="AX25" s="82"/>
      <c r="AY25" s="81"/>
      <c r="AZ25" s="81"/>
      <c r="BA25" s="81"/>
      <c r="BB25" s="82"/>
      <c r="BC25" s="81"/>
      <c r="BD25" s="81"/>
      <c r="BE25" s="81"/>
      <c r="BF25" s="81"/>
      <c r="BG25" s="83"/>
      <c r="BH25" s="81"/>
      <c r="BI25" s="81"/>
      <c r="BJ25" s="81"/>
      <c r="BK25" s="81"/>
      <c r="BL25" s="83"/>
      <c r="BM25" s="81"/>
      <c r="BN25" s="81"/>
      <c r="BO25" s="81"/>
      <c r="BP25" s="83"/>
      <c r="BQ25" s="81"/>
      <c r="BR25" s="81"/>
      <c r="BS25" s="81"/>
      <c r="BT25" s="81"/>
      <c r="BU25" s="82"/>
      <c r="BV25" s="81"/>
      <c r="BW25" s="81"/>
      <c r="BX25" s="81"/>
      <c r="BY25" s="82"/>
      <c r="BZ25" s="81"/>
      <c r="CA25" s="81"/>
      <c r="CB25" s="81"/>
      <c r="CC25" s="81"/>
      <c r="CD25" s="83"/>
      <c r="CE25" s="81"/>
      <c r="CF25" s="81"/>
      <c r="CG25" s="24"/>
      <c r="CH25" s="25">
        <f t="shared" si="2"/>
        <v>21</v>
      </c>
      <c r="CI25" s="26" t="s">
        <v>391</v>
      </c>
      <c r="CJ25" s="28"/>
      <c r="CK25" s="25"/>
      <c r="CL25" s="30"/>
    </row>
    <row r="26" spans="1:90" ht="12.75">
      <c r="A26" s="176">
        <f t="shared" si="3"/>
        <v>22</v>
      </c>
      <c r="B26" s="177"/>
      <c r="C26" s="178" t="s">
        <v>25</v>
      </c>
      <c r="D26" s="179"/>
      <c r="E26" s="179"/>
      <c r="F26" s="179"/>
      <c r="G26" s="179"/>
      <c r="H26" s="179"/>
      <c r="I26" s="179"/>
      <c r="J26" s="179"/>
      <c r="K26" s="179"/>
      <c r="L26" s="180"/>
      <c r="M26" s="78"/>
      <c r="N26" s="80"/>
      <c r="O26" s="80"/>
      <c r="P26" s="80"/>
      <c r="Q26" s="80"/>
      <c r="R26" s="78"/>
      <c r="S26" s="80"/>
      <c r="T26" s="80"/>
      <c r="U26" s="80"/>
      <c r="V26" s="78"/>
      <c r="W26" s="80"/>
      <c r="X26" s="80"/>
      <c r="Y26" s="80"/>
      <c r="Z26" s="80"/>
      <c r="AA26" s="80"/>
      <c r="AB26" s="81"/>
      <c r="AC26" s="81"/>
      <c r="AD26" s="81"/>
      <c r="AE26" s="82"/>
      <c r="AF26" s="81"/>
      <c r="AG26" s="81"/>
      <c r="AH26" s="81"/>
      <c r="AI26" s="81"/>
      <c r="AJ26" s="83"/>
      <c r="AK26" s="81"/>
      <c r="AL26" s="81"/>
      <c r="AM26" s="81"/>
      <c r="AN26" s="81"/>
      <c r="AO26" s="83"/>
      <c r="AP26" s="81"/>
      <c r="AQ26" s="81"/>
      <c r="AR26" s="81"/>
      <c r="AS26" s="83"/>
      <c r="AT26" s="81"/>
      <c r="AU26" s="81"/>
      <c r="AV26" s="81"/>
      <c r="AW26" s="81"/>
      <c r="AX26" s="82"/>
      <c r="AY26" s="81"/>
      <c r="AZ26" s="81"/>
      <c r="BA26" s="81"/>
      <c r="BB26" s="82"/>
      <c r="BC26" s="81"/>
      <c r="BD26" s="81"/>
      <c r="BE26" s="81"/>
      <c r="BF26" s="81"/>
      <c r="BG26" s="83"/>
      <c r="BH26" s="81"/>
      <c r="BI26" s="81"/>
      <c r="BJ26" s="81"/>
      <c r="BK26" s="81"/>
      <c r="BL26" s="83"/>
      <c r="BM26" s="81"/>
      <c r="BN26" s="81"/>
      <c r="BO26" s="81"/>
      <c r="BP26" s="83"/>
      <c r="BQ26" s="81"/>
      <c r="BR26" s="81"/>
      <c r="BS26" s="81"/>
      <c r="BT26" s="81"/>
      <c r="BU26" s="82"/>
      <c r="BV26" s="81"/>
      <c r="BW26" s="81"/>
      <c r="BX26" s="81"/>
      <c r="BY26" s="82"/>
      <c r="BZ26" s="81"/>
      <c r="CA26" s="81"/>
      <c r="CB26" s="81"/>
      <c r="CC26" s="81"/>
      <c r="CD26" s="83"/>
      <c r="CE26" s="81"/>
      <c r="CF26" s="81"/>
      <c r="CG26" s="24"/>
      <c r="CH26" s="25">
        <f t="shared" si="2"/>
        <v>22</v>
      </c>
      <c r="CI26" s="26" t="s">
        <v>392</v>
      </c>
      <c r="CJ26" s="28"/>
      <c r="CK26" s="25"/>
      <c r="CL26" s="30"/>
    </row>
    <row r="27" spans="1:90" ht="26.45" customHeight="1">
      <c r="A27" s="176">
        <f t="shared" si="3"/>
        <v>23</v>
      </c>
      <c r="B27" s="177"/>
      <c r="C27" s="178" t="s">
        <v>26</v>
      </c>
      <c r="D27" s="179"/>
      <c r="E27" s="179"/>
      <c r="F27" s="179"/>
      <c r="G27" s="179"/>
      <c r="H27" s="179"/>
      <c r="I27" s="179"/>
      <c r="J27" s="179"/>
      <c r="K27" s="179"/>
      <c r="L27" s="180"/>
      <c r="M27" s="78"/>
      <c r="N27" s="80"/>
      <c r="O27" s="80"/>
      <c r="P27" s="80"/>
      <c r="Q27" s="80"/>
      <c r="R27" s="78"/>
      <c r="S27" s="80"/>
      <c r="T27" s="80"/>
      <c r="U27" s="80"/>
      <c r="V27" s="78"/>
      <c r="W27" s="80"/>
      <c r="X27" s="80"/>
      <c r="Y27" s="80"/>
      <c r="Z27" s="80"/>
      <c r="AA27" s="80"/>
      <c r="AB27" s="81"/>
      <c r="AC27" s="81"/>
      <c r="AD27" s="81"/>
      <c r="AE27" s="82"/>
      <c r="AF27" s="81"/>
      <c r="AG27" s="81"/>
      <c r="AH27" s="81"/>
      <c r="AI27" s="81"/>
      <c r="AJ27" s="83"/>
      <c r="AK27" s="81"/>
      <c r="AL27" s="81"/>
      <c r="AM27" s="81"/>
      <c r="AN27" s="81"/>
      <c r="AO27" s="83"/>
      <c r="AP27" s="81"/>
      <c r="AQ27" s="81"/>
      <c r="AR27" s="81"/>
      <c r="AS27" s="83"/>
      <c r="AT27" s="81"/>
      <c r="AU27" s="81"/>
      <c r="AV27" s="81"/>
      <c r="AW27" s="81"/>
      <c r="AX27" s="82"/>
      <c r="AY27" s="81"/>
      <c r="AZ27" s="81"/>
      <c r="BA27" s="81"/>
      <c r="BB27" s="82"/>
      <c r="BC27" s="81"/>
      <c r="BD27" s="81"/>
      <c r="BE27" s="81"/>
      <c r="BF27" s="81"/>
      <c r="BG27" s="83"/>
      <c r="BH27" s="81"/>
      <c r="BI27" s="81"/>
      <c r="BJ27" s="81"/>
      <c r="BK27" s="81"/>
      <c r="BL27" s="83"/>
      <c r="BM27" s="81"/>
      <c r="BN27" s="81"/>
      <c r="BO27" s="81"/>
      <c r="BP27" s="83"/>
      <c r="BQ27" s="81"/>
      <c r="BR27" s="81"/>
      <c r="BS27" s="81"/>
      <c r="BT27" s="81"/>
      <c r="BU27" s="82"/>
      <c r="BV27" s="81"/>
      <c r="BW27" s="81"/>
      <c r="BX27" s="81"/>
      <c r="BY27" s="82"/>
      <c r="BZ27" s="81"/>
      <c r="CA27" s="81"/>
      <c r="CB27" s="81"/>
      <c r="CC27" s="81"/>
      <c r="CD27" s="83"/>
      <c r="CE27" s="81"/>
      <c r="CF27" s="81"/>
      <c r="CG27" s="24"/>
      <c r="CH27" s="25">
        <f t="shared" si="2"/>
        <v>23</v>
      </c>
      <c r="CI27" s="26" t="s">
        <v>393</v>
      </c>
      <c r="CJ27" s="28"/>
      <c r="CK27" s="25"/>
      <c r="CL27" s="30"/>
    </row>
    <row r="28" spans="1:90" ht="12.75">
      <c r="A28" s="176">
        <f t="shared" si="3"/>
        <v>24</v>
      </c>
      <c r="B28" s="177"/>
      <c r="C28" s="178" t="s">
        <v>27</v>
      </c>
      <c r="D28" s="179"/>
      <c r="E28" s="179"/>
      <c r="F28" s="179"/>
      <c r="G28" s="179"/>
      <c r="H28" s="179"/>
      <c r="I28" s="179"/>
      <c r="J28" s="179"/>
      <c r="K28" s="179"/>
      <c r="L28" s="180"/>
      <c r="M28" s="78"/>
      <c r="N28" s="80"/>
      <c r="O28" s="80"/>
      <c r="P28" s="80"/>
      <c r="Q28" s="80"/>
      <c r="R28" s="78"/>
      <c r="S28" s="80"/>
      <c r="T28" s="80"/>
      <c r="U28" s="80"/>
      <c r="V28" s="78"/>
      <c r="W28" s="80"/>
      <c r="X28" s="80"/>
      <c r="Y28" s="80"/>
      <c r="Z28" s="80"/>
      <c r="AA28" s="80"/>
      <c r="AB28" s="81"/>
      <c r="AC28" s="81"/>
      <c r="AD28" s="81"/>
      <c r="AE28" s="82"/>
      <c r="AF28" s="81"/>
      <c r="AG28" s="81"/>
      <c r="AH28" s="81"/>
      <c r="AI28" s="81"/>
      <c r="AJ28" s="83"/>
      <c r="AK28" s="81"/>
      <c r="AL28" s="81"/>
      <c r="AM28" s="81"/>
      <c r="AN28" s="81"/>
      <c r="AO28" s="83"/>
      <c r="AP28" s="81"/>
      <c r="AQ28" s="81"/>
      <c r="AR28" s="81"/>
      <c r="AS28" s="83"/>
      <c r="AT28" s="81"/>
      <c r="AU28" s="81"/>
      <c r="AV28" s="81"/>
      <c r="AW28" s="81"/>
      <c r="AX28" s="82"/>
      <c r="AY28" s="81"/>
      <c r="AZ28" s="81"/>
      <c r="BA28" s="81"/>
      <c r="BB28" s="82"/>
      <c r="BC28" s="81"/>
      <c r="BD28" s="81"/>
      <c r="BE28" s="81"/>
      <c r="BF28" s="81"/>
      <c r="BG28" s="83"/>
      <c r="BH28" s="81"/>
      <c r="BI28" s="81"/>
      <c r="BJ28" s="81"/>
      <c r="BK28" s="81"/>
      <c r="BL28" s="83"/>
      <c r="BM28" s="81"/>
      <c r="BN28" s="81"/>
      <c r="BO28" s="81"/>
      <c r="BP28" s="83"/>
      <c r="BQ28" s="81"/>
      <c r="BR28" s="81"/>
      <c r="BS28" s="81"/>
      <c r="BT28" s="81"/>
      <c r="BU28" s="82"/>
      <c r="BV28" s="81"/>
      <c r="BW28" s="81"/>
      <c r="BX28" s="81"/>
      <c r="BY28" s="82"/>
      <c r="BZ28" s="81"/>
      <c r="CA28" s="81"/>
      <c r="CB28" s="81"/>
      <c r="CC28" s="81"/>
      <c r="CD28" s="83"/>
      <c r="CE28" s="81"/>
      <c r="CF28" s="81"/>
      <c r="CG28" s="24"/>
      <c r="CH28" s="25">
        <f t="shared" si="2"/>
        <v>24</v>
      </c>
      <c r="CI28" s="26" t="s">
        <v>394</v>
      </c>
      <c r="CJ28" s="28"/>
      <c r="CK28" s="25"/>
      <c r="CL28" s="30"/>
    </row>
    <row r="29" spans="1:90" ht="12.75">
      <c r="A29" s="176">
        <f t="shared" si="3"/>
        <v>25</v>
      </c>
      <c r="B29" s="177"/>
      <c r="C29" s="178" t="s">
        <v>28</v>
      </c>
      <c r="D29" s="179"/>
      <c r="E29" s="179"/>
      <c r="F29" s="179"/>
      <c r="G29" s="179"/>
      <c r="H29" s="179"/>
      <c r="I29" s="179"/>
      <c r="J29" s="179"/>
      <c r="K29" s="179"/>
      <c r="L29" s="180"/>
      <c r="M29" s="78"/>
      <c r="N29" s="80"/>
      <c r="O29" s="80"/>
      <c r="P29" s="80"/>
      <c r="Q29" s="80"/>
      <c r="R29" s="78"/>
      <c r="S29" s="80"/>
      <c r="T29" s="80"/>
      <c r="U29" s="80"/>
      <c r="V29" s="78"/>
      <c r="W29" s="80"/>
      <c r="X29" s="80"/>
      <c r="Y29" s="80"/>
      <c r="Z29" s="80"/>
      <c r="AA29" s="80"/>
      <c r="AB29" s="81"/>
      <c r="AC29" s="81">
        <v>1</v>
      </c>
      <c r="AD29" s="81"/>
      <c r="AE29" s="82"/>
      <c r="AF29" s="81"/>
      <c r="AG29" s="81"/>
      <c r="AH29" s="81"/>
      <c r="AI29" s="81"/>
      <c r="AJ29" s="83"/>
      <c r="AK29" s="81"/>
      <c r="AL29" s="81"/>
      <c r="AM29" s="81"/>
      <c r="AN29" s="81"/>
      <c r="AO29" s="83"/>
      <c r="AP29" s="81"/>
      <c r="AQ29" s="81"/>
      <c r="AR29" s="81"/>
      <c r="AS29" s="83"/>
      <c r="AT29" s="81"/>
      <c r="AU29" s="81"/>
      <c r="AV29" s="81"/>
      <c r="AW29" s="81"/>
      <c r="AX29" s="82"/>
      <c r="AY29" s="81"/>
      <c r="AZ29" s="81"/>
      <c r="BA29" s="81"/>
      <c r="BB29" s="82"/>
      <c r="BC29" s="81"/>
      <c r="BD29" s="81"/>
      <c r="BE29" s="81"/>
      <c r="BF29" s="81"/>
      <c r="BG29" s="83"/>
      <c r="BH29" s="81"/>
      <c r="BI29" s="81"/>
      <c r="BJ29" s="81"/>
      <c r="BK29" s="81"/>
      <c r="BL29" s="83"/>
      <c r="BM29" s="81"/>
      <c r="BN29" s="81"/>
      <c r="BO29" s="81"/>
      <c r="BP29" s="83"/>
      <c r="BQ29" s="81"/>
      <c r="BR29" s="81"/>
      <c r="BS29" s="81"/>
      <c r="BT29" s="81"/>
      <c r="BU29" s="82"/>
      <c r="BV29" s="81"/>
      <c r="BW29" s="81"/>
      <c r="BX29" s="81"/>
      <c r="BY29" s="82"/>
      <c r="BZ29" s="81"/>
      <c r="CA29" s="81"/>
      <c r="CB29" s="81"/>
      <c r="CC29" s="81"/>
      <c r="CD29" s="83"/>
      <c r="CE29" s="81"/>
      <c r="CF29" s="81"/>
      <c r="CG29" s="24"/>
      <c r="CH29" s="25">
        <f t="shared" si="2"/>
        <v>25</v>
      </c>
      <c r="CI29" s="26" t="s">
        <v>395</v>
      </c>
      <c r="CJ29" s="28"/>
      <c r="CK29" s="25"/>
      <c r="CL29" s="30"/>
    </row>
    <row r="30" spans="1:90" ht="26.45" customHeight="1">
      <c r="A30" s="176">
        <f t="shared" si="3"/>
        <v>26</v>
      </c>
      <c r="B30" s="177"/>
      <c r="C30" s="178" t="s">
        <v>29</v>
      </c>
      <c r="D30" s="179"/>
      <c r="E30" s="179"/>
      <c r="F30" s="179"/>
      <c r="G30" s="179"/>
      <c r="H30" s="179"/>
      <c r="I30" s="179"/>
      <c r="J30" s="179"/>
      <c r="K30" s="179"/>
      <c r="L30" s="180"/>
      <c r="M30" s="78"/>
      <c r="N30" s="80"/>
      <c r="O30" s="80"/>
      <c r="P30" s="80"/>
      <c r="Q30" s="80"/>
      <c r="R30" s="78"/>
      <c r="S30" s="80"/>
      <c r="T30" s="80"/>
      <c r="U30" s="80"/>
      <c r="V30" s="78"/>
      <c r="W30" s="80"/>
      <c r="X30" s="80"/>
      <c r="Y30" s="80"/>
      <c r="Z30" s="80"/>
      <c r="AA30" s="80"/>
      <c r="AB30" s="81"/>
      <c r="AC30" s="81">
        <v>1</v>
      </c>
      <c r="AD30" s="81"/>
      <c r="AE30" s="82"/>
      <c r="AF30" s="81"/>
      <c r="AG30" s="81"/>
      <c r="AH30" s="81"/>
      <c r="AI30" s="81"/>
      <c r="AJ30" s="77"/>
      <c r="AK30" s="75"/>
      <c r="AL30" s="75"/>
      <c r="AM30" s="75"/>
      <c r="AN30" s="75"/>
      <c r="AO30" s="77"/>
      <c r="AP30" s="75"/>
      <c r="AQ30" s="75"/>
      <c r="AR30" s="75"/>
      <c r="AS30" s="77"/>
      <c r="AT30" s="75"/>
      <c r="AU30" s="75"/>
      <c r="AV30" s="75"/>
      <c r="AW30" s="75"/>
      <c r="AX30" s="82"/>
      <c r="AY30" s="81"/>
      <c r="AZ30" s="81"/>
      <c r="BA30" s="81"/>
      <c r="BB30" s="82"/>
      <c r="BC30" s="81"/>
      <c r="BD30" s="81"/>
      <c r="BE30" s="81"/>
      <c r="BF30" s="81"/>
      <c r="BG30" s="77"/>
      <c r="BH30" s="75"/>
      <c r="BI30" s="75"/>
      <c r="BJ30" s="75"/>
      <c r="BK30" s="75"/>
      <c r="BL30" s="77"/>
      <c r="BM30" s="75"/>
      <c r="BN30" s="75"/>
      <c r="BO30" s="75"/>
      <c r="BP30" s="77"/>
      <c r="BQ30" s="75"/>
      <c r="BR30" s="75"/>
      <c r="BS30" s="75"/>
      <c r="BT30" s="75"/>
      <c r="BU30" s="82"/>
      <c r="BV30" s="81"/>
      <c r="BW30" s="81"/>
      <c r="BX30" s="81"/>
      <c r="BY30" s="82"/>
      <c r="BZ30" s="81"/>
      <c r="CA30" s="81"/>
      <c r="CB30" s="81"/>
      <c r="CC30" s="81"/>
      <c r="CD30" s="77"/>
      <c r="CE30" s="75"/>
      <c r="CF30" s="75"/>
      <c r="CG30" s="24"/>
      <c r="CH30" s="25"/>
      <c r="CI30" s="26"/>
      <c r="CJ30" s="28"/>
      <c r="CK30" s="25"/>
      <c r="CL30" s="30"/>
    </row>
    <row r="31" spans="1:90" ht="26.45" customHeight="1">
      <c r="A31" s="176">
        <f t="shared" si="3"/>
        <v>27</v>
      </c>
      <c r="B31" s="177"/>
      <c r="C31" s="178" t="s">
        <v>30</v>
      </c>
      <c r="D31" s="179"/>
      <c r="E31" s="179"/>
      <c r="F31" s="179"/>
      <c r="G31" s="179"/>
      <c r="H31" s="179"/>
      <c r="I31" s="179"/>
      <c r="J31" s="179"/>
      <c r="K31" s="179"/>
      <c r="L31" s="180"/>
      <c r="M31" s="78"/>
      <c r="N31" s="80"/>
      <c r="O31" s="80"/>
      <c r="P31" s="80"/>
      <c r="Q31" s="80"/>
      <c r="R31" s="78"/>
      <c r="S31" s="80"/>
      <c r="T31" s="80"/>
      <c r="U31" s="80"/>
      <c r="V31" s="78"/>
      <c r="W31" s="80"/>
      <c r="X31" s="80">
        <v>1</v>
      </c>
      <c r="Y31" s="80"/>
      <c r="Z31" s="80"/>
      <c r="AA31" s="80"/>
      <c r="AB31" s="75"/>
      <c r="AC31" s="75"/>
      <c r="AD31" s="75"/>
      <c r="AE31" s="76"/>
      <c r="AF31" s="75"/>
      <c r="AG31" s="75"/>
      <c r="AH31" s="75"/>
      <c r="AI31" s="75"/>
      <c r="AJ31" s="77"/>
      <c r="AK31" s="75"/>
      <c r="AL31" s="75"/>
      <c r="AM31" s="75"/>
      <c r="AN31" s="75"/>
      <c r="AO31" s="77"/>
      <c r="AP31" s="75"/>
      <c r="AQ31" s="75"/>
      <c r="AR31" s="75"/>
      <c r="AS31" s="77"/>
      <c r="AT31" s="75"/>
      <c r="AU31" s="75"/>
      <c r="AV31" s="75"/>
      <c r="AW31" s="75"/>
      <c r="AX31" s="76"/>
      <c r="AY31" s="75"/>
      <c r="AZ31" s="75"/>
      <c r="BA31" s="75"/>
      <c r="BB31" s="76"/>
      <c r="BC31" s="75"/>
      <c r="BD31" s="75"/>
      <c r="BE31" s="75"/>
      <c r="BF31" s="75"/>
      <c r="BG31" s="77"/>
      <c r="BH31" s="75"/>
      <c r="BI31" s="75"/>
      <c r="BJ31" s="75"/>
      <c r="BK31" s="75"/>
      <c r="BL31" s="77"/>
      <c r="BM31" s="75"/>
      <c r="BN31" s="75"/>
      <c r="BO31" s="75"/>
      <c r="BP31" s="77"/>
      <c r="BQ31" s="75"/>
      <c r="BR31" s="75"/>
      <c r="BS31" s="75"/>
      <c r="BT31" s="75"/>
      <c r="BU31" s="76"/>
      <c r="BV31" s="75"/>
      <c r="BW31" s="75"/>
      <c r="BX31" s="75"/>
      <c r="BY31" s="76"/>
      <c r="BZ31" s="75"/>
      <c r="CA31" s="75"/>
      <c r="CB31" s="75"/>
      <c r="CC31" s="75"/>
      <c r="CD31" s="77"/>
      <c r="CE31" s="75"/>
      <c r="CF31" s="75"/>
      <c r="CG31" s="24"/>
      <c r="CH31" s="25"/>
      <c r="CI31" s="26"/>
      <c r="CJ31" s="28"/>
      <c r="CK31" s="25"/>
      <c r="CL31" s="30"/>
    </row>
    <row r="32" spans="1:90" ht="12.75">
      <c r="A32" s="176">
        <f t="shared" si="3"/>
        <v>28</v>
      </c>
      <c r="B32" s="177"/>
      <c r="C32" s="178" t="s">
        <v>31</v>
      </c>
      <c r="D32" s="179"/>
      <c r="E32" s="179"/>
      <c r="F32" s="179"/>
      <c r="G32" s="179"/>
      <c r="H32" s="179"/>
      <c r="I32" s="179"/>
      <c r="J32" s="179"/>
      <c r="K32" s="179"/>
      <c r="L32" s="180"/>
      <c r="M32" s="80">
        <v>1</v>
      </c>
      <c r="N32" s="80">
        <v>1</v>
      </c>
      <c r="O32" s="80">
        <v>1</v>
      </c>
      <c r="P32" s="80">
        <v>1</v>
      </c>
      <c r="Q32" s="80">
        <v>1</v>
      </c>
      <c r="R32" s="80">
        <v>1</v>
      </c>
      <c r="S32" s="80">
        <v>1</v>
      </c>
      <c r="T32" s="80">
        <v>1</v>
      </c>
      <c r="U32" s="80">
        <v>1</v>
      </c>
      <c r="V32" s="80">
        <v>1</v>
      </c>
      <c r="W32" s="80">
        <v>1</v>
      </c>
      <c r="X32" s="80">
        <v>1</v>
      </c>
      <c r="Y32" s="80">
        <v>1</v>
      </c>
      <c r="Z32" s="80">
        <v>1</v>
      </c>
      <c r="AA32" s="80">
        <v>1</v>
      </c>
      <c r="AB32" s="81">
        <v>1</v>
      </c>
      <c r="AC32" s="81">
        <v>1</v>
      </c>
      <c r="AD32" s="81">
        <v>1</v>
      </c>
      <c r="AE32" s="82">
        <v>1</v>
      </c>
      <c r="AF32" s="81">
        <v>1</v>
      </c>
      <c r="AG32" s="81">
        <v>1</v>
      </c>
      <c r="AH32" s="81">
        <v>1</v>
      </c>
      <c r="AI32" s="81">
        <v>1</v>
      </c>
      <c r="AJ32" s="83">
        <v>1</v>
      </c>
      <c r="AK32" s="81">
        <v>1</v>
      </c>
      <c r="AL32" s="81"/>
      <c r="AM32" s="81"/>
      <c r="AN32" s="81"/>
      <c r="AO32" s="83"/>
      <c r="AP32" s="81"/>
      <c r="AQ32" s="81"/>
      <c r="AR32" s="81"/>
      <c r="AS32" s="83"/>
      <c r="AT32" s="81"/>
      <c r="AU32" s="81"/>
      <c r="AV32" s="81"/>
      <c r="AW32" s="81"/>
      <c r="AX32" s="82"/>
      <c r="AY32" s="81"/>
      <c r="AZ32" s="81"/>
      <c r="BA32" s="81"/>
      <c r="BB32" s="82"/>
      <c r="BC32" s="81"/>
      <c r="BD32" s="81"/>
      <c r="BE32" s="81"/>
      <c r="BF32" s="81"/>
      <c r="BG32" s="83"/>
      <c r="BH32" s="81"/>
      <c r="BI32" s="81"/>
      <c r="BJ32" s="81"/>
      <c r="BK32" s="81"/>
      <c r="BL32" s="83"/>
      <c r="BM32" s="81"/>
      <c r="BN32" s="81"/>
      <c r="BO32" s="81"/>
      <c r="BP32" s="83"/>
      <c r="BQ32" s="81"/>
      <c r="BR32" s="81"/>
      <c r="BS32" s="81"/>
      <c r="BT32" s="81"/>
      <c r="BU32" s="82"/>
      <c r="BV32" s="81"/>
      <c r="BW32" s="81"/>
      <c r="BX32" s="81"/>
      <c r="BY32" s="82"/>
      <c r="BZ32" s="81"/>
      <c r="CA32" s="81"/>
      <c r="CB32" s="81"/>
      <c r="CC32" s="81"/>
      <c r="CD32" s="83"/>
      <c r="CE32" s="81"/>
      <c r="CF32" s="81"/>
      <c r="CG32" s="24"/>
      <c r="CH32" s="25"/>
      <c r="CI32" s="26"/>
      <c r="CJ32" s="28"/>
      <c r="CK32" s="25"/>
      <c r="CL32" s="30"/>
    </row>
    <row r="33" spans="1:90" ht="12.75">
      <c r="A33" s="176">
        <f t="shared" si="3"/>
        <v>29</v>
      </c>
      <c r="B33" s="177"/>
      <c r="C33" s="178" t="s">
        <v>32</v>
      </c>
      <c r="D33" s="179"/>
      <c r="E33" s="179"/>
      <c r="F33" s="179"/>
      <c r="G33" s="179"/>
      <c r="H33" s="179"/>
      <c r="I33" s="179"/>
      <c r="J33" s="179"/>
      <c r="K33" s="179"/>
      <c r="L33" s="180"/>
      <c r="M33" s="78"/>
      <c r="N33" s="80"/>
      <c r="O33" s="80"/>
      <c r="P33" s="80"/>
      <c r="Q33" s="80"/>
      <c r="R33" s="78"/>
      <c r="S33" s="80"/>
      <c r="T33" s="80"/>
      <c r="U33" s="80"/>
      <c r="V33" s="78"/>
      <c r="W33" s="80"/>
      <c r="X33" s="80"/>
      <c r="Y33" s="80"/>
      <c r="Z33" s="80"/>
      <c r="AA33" s="80"/>
      <c r="AB33" s="81"/>
      <c r="AC33" s="81"/>
      <c r="AD33" s="81"/>
      <c r="AE33" s="82"/>
      <c r="AF33" s="81"/>
      <c r="AG33" s="81"/>
      <c r="AH33" s="81"/>
      <c r="AI33" s="81"/>
      <c r="AJ33" s="83"/>
      <c r="AK33" s="81"/>
      <c r="AL33" s="81"/>
      <c r="AM33" s="81"/>
      <c r="AN33" s="81"/>
      <c r="AO33" s="83"/>
      <c r="AP33" s="81"/>
      <c r="AQ33" s="81"/>
      <c r="AR33" s="81"/>
      <c r="AS33" s="83"/>
      <c r="AT33" s="81"/>
      <c r="AU33" s="81"/>
      <c r="AV33" s="81"/>
      <c r="AW33" s="81"/>
      <c r="AX33" s="82"/>
      <c r="AY33" s="81"/>
      <c r="AZ33" s="81"/>
      <c r="BA33" s="81"/>
      <c r="BB33" s="82"/>
      <c r="BC33" s="81"/>
      <c r="BD33" s="81"/>
      <c r="BE33" s="81"/>
      <c r="BF33" s="81"/>
      <c r="BG33" s="83"/>
      <c r="BH33" s="81"/>
      <c r="BI33" s="81"/>
      <c r="BJ33" s="81"/>
      <c r="BK33" s="81"/>
      <c r="BL33" s="83"/>
      <c r="BM33" s="81"/>
      <c r="BN33" s="81"/>
      <c r="BO33" s="81"/>
      <c r="BP33" s="83"/>
      <c r="BQ33" s="81"/>
      <c r="BR33" s="81"/>
      <c r="BS33" s="81"/>
      <c r="BT33" s="81"/>
      <c r="BU33" s="82"/>
      <c r="BV33" s="81"/>
      <c r="BW33" s="81"/>
      <c r="BX33" s="81"/>
      <c r="BY33" s="82"/>
      <c r="BZ33" s="81"/>
      <c r="CA33" s="81"/>
      <c r="CB33" s="81"/>
      <c r="CC33" s="81"/>
      <c r="CD33" s="83"/>
      <c r="CE33" s="81"/>
      <c r="CF33" s="81"/>
      <c r="CG33" s="24"/>
      <c r="CH33" s="25"/>
      <c r="CI33" s="26"/>
      <c r="CJ33" s="28"/>
      <c r="CK33" s="25"/>
      <c r="CL33" s="30"/>
    </row>
    <row r="34" spans="1:90" ht="12.75">
      <c r="A34" s="176">
        <f t="shared" si="3"/>
        <v>30</v>
      </c>
      <c r="B34" s="177"/>
      <c r="C34" s="178" t="s">
        <v>33</v>
      </c>
      <c r="D34" s="179"/>
      <c r="E34" s="179"/>
      <c r="F34" s="179"/>
      <c r="G34" s="179"/>
      <c r="H34" s="179"/>
      <c r="I34" s="179"/>
      <c r="J34" s="179"/>
      <c r="K34" s="179"/>
      <c r="L34" s="180"/>
      <c r="M34" s="78"/>
      <c r="N34" s="80"/>
      <c r="O34" s="80"/>
      <c r="P34" s="80"/>
      <c r="Q34" s="80"/>
      <c r="R34" s="78"/>
      <c r="S34" s="80"/>
      <c r="T34" s="80"/>
      <c r="U34" s="80"/>
      <c r="V34" s="78"/>
      <c r="W34" s="80"/>
      <c r="X34" s="80"/>
      <c r="Y34" s="80"/>
      <c r="Z34" s="78"/>
      <c r="AA34" s="80"/>
      <c r="AB34" s="81"/>
      <c r="AC34" s="81"/>
      <c r="AD34" s="81"/>
      <c r="AE34" s="82"/>
      <c r="AF34" s="81"/>
      <c r="AG34" s="81"/>
      <c r="AH34" s="81"/>
      <c r="AI34" s="81"/>
      <c r="AJ34" s="83"/>
      <c r="AK34" s="81"/>
      <c r="AL34" s="81"/>
      <c r="AM34" s="81"/>
      <c r="AN34" s="81"/>
      <c r="AO34" s="83"/>
      <c r="AP34" s="81"/>
      <c r="AQ34" s="81"/>
      <c r="AR34" s="81"/>
      <c r="AS34" s="83"/>
      <c r="AT34" s="81"/>
      <c r="AU34" s="81"/>
      <c r="AV34" s="81"/>
      <c r="AW34" s="81"/>
      <c r="AX34" s="82"/>
      <c r="AY34" s="81"/>
      <c r="AZ34" s="81"/>
      <c r="BA34" s="81"/>
      <c r="BB34" s="82"/>
      <c r="BC34" s="81"/>
      <c r="BD34" s="81"/>
      <c r="BE34" s="81"/>
      <c r="BF34" s="81"/>
      <c r="BG34" s="83"/>
      <c r="BH34" s="81"/>
      <c r="BI34" s="81"/>
      <c r="BJ34" s="81"/>
      <c r="BK34" s="81"/>
      <c r="BL34" s="83"/>
      <c r="BM34" s="81"/>
      <c r="BN34" s="81"/>
      <c r="BO34" s="81"/>
      <c r="BP34" s="83"/>
      <c r="BQ34" s="81"/>
      <c r="BR34" s="81"/>
      <c r="BS34" s="81"/>
      <c r="BT34" s="81"/>
      <c r="BU34" s="82"/>
      <c r="BV34" s="81"/>
      <c r="BW34" s="81"/>
      <c r="BX34" s="81"/>
      <c r="BY34" s="82"/>
      <c r="BZ34" s="81"/>
      <c r="CA34" s="81"/>
      <c r="CB34" s="81"/>
      <c r="CC34" s="81"/>
      <c r="CD34" s="83"/>
      <c r="CE34" s="81"/>
      <c r="CF34" s="81"/>
      <c r="CG34" s="24"/>
      <c r="CH34" s="25"/>
      <c r="CI34" s="26"/>
      <c r="CJ34" s="28"/>
      <c r="CK34" s="25"/>
      <c r="CL34" s="30"/>
    </row>
    <row r="35" spans="1:90" ht="12.75">
      <c r="A35" s="176">
        <f t="shared" si="3"/>
        <v>31</v>
      </c>
      <c r="B35" s="177"/>
      <c r="C35" s="178" t="s">
        <v>34</v>
      </c>
      <c r="D35" s="179"/>
      <c r="E35" s="179"/>
      <c r="F35" s="179"/>
      <c r="G35" s="179"/>
      <c r="H35" s="179"/>
      <c r="I35" s="179"/>
      <c r="J35" s="179"/>
      <c r="K35" s="179"/>
      <c r="L35" s="180"/>
      <c r="M35" s="78"/>
      <c r="N35" s="80"/>
      <c r="O35" s="80"/>
      <c r="P35" s="80"/>
      <c r="Q35" s="80"/>
      <c r="R35" s="78"/>
      <c r="S35" s="80"/>
      <c r="T35" s="80"/>
      <c r="U35" s="80"/>
      <c r="V35" s="78"/>
      <c r="W35" s="80"/>
      <c r="X35" s="80"/>
      <c r="Y35" s="80"/>
      <c r="Z35" s="80"/>
      <c r="AA35" s="80"/>
      <c r="AB35" s="81"/>
      <c r="AC35" s="81"/>
      <c r="AD35" s="81"/>
      <c r="AE35" s="82"/>
      <c r="AF35" s="81"/>
      <c r="AG35" s="81"/>
      <c r="AH35" s="81"/>
      <c r="AI35" s="81"/>
      <c r="AJ35" s="83"/>
      <c r="AK35" s="81"/>
      <c r="AL35" s="81"/>
      <c r="AM35" s="81"/>
      <c r="AN35" s="81"/>
      <c r="AO35" s="83"/>
      <c r="AP35" s="81"/>
      <c r="AQ35" s="81"/>
      <c r="AR35" s="81"/>
      <c r="AS35" s="83"/>
      <c r="AT35" s="81"/>
      <c r="AU35" s="81"/>
      <c r="AV35" s="81"/>
      <c r="AW35" s="81"/>
      <c r="AX35" s="82"/>
      <c r="AY35" s="81"/>
      <c r="AZ35" s="81"/>
      <c r="BA35" s="81"/>
      <c r="BB35" s="82"/>
      <c r="BC35" s="81"/>
      <c r="BD35" s="81"/>
      <c r="BE35" s="81"/>
      <c r="BF35" s="81"/>
      <c r="BG35" s="83"/>
      <c r="BH35" s="81"/>
      <c r="BI35" s="81"/>
      <c r="BJ35" s="81"/>
      <c r="BK35" s="81"/>
      <c r="BL35" s="83"/>
      <c r="BM35" s="81"/>
      <c r="BN35" s="81"/>
      <c r="BO35" s="81"/>
      <c r="BP35" s="83"/>
      <c r="BQ35" s="81"/>
      <c r="BR35" s="81"/>
      <c r="BS35" s="81"/>
      <c r="BT35" s="81"/>
      <c r="BU35" s="82"/>
      <c r="BV35" s="81"/>
      <c r="BW35" s="81"/>
      <c r="BX35" s="81"/>
      <c r="BY35" s="82"/>
      <c r="BZ35" s="81"/>
      <c r="CA35" s="81"/>
      <c r="CB35" s="81"/>
      <c r="CC35" s="81"/>
      <c r="CD35" s="83"/>
      <c r="CE35" s="81"/>
      <c r="CF35" s="81"/>
      <c r="CG35" s="24"/>
      <c r="CH35" s="25"/>
      <c r="CI35" s="26"/>
      <c r="CJ35" s="28"/>
      <c r="CK35" s="25"/>
      <c r="CL35" s="30"/>
    </row>
    <row r="36" spans="1:90" ht="12.75">
      <c r="A36" s="176">
        <f t="shared" si="3"/>
        <v>32</v>
      </c>
      <c r="B36" s="177"/>
      <c r="C36" s="178" t="s">
        <v>35</v>
      </c>
      <c r="D36" s="179"/>
      <c r="E36" s="179"/>
      <c r="F36" s="179"/>
      <c r="G36" s="179"/>
      <c r="H36" s="179"/>
      <c r="I36" s="179"/>
      <c r="J36" s="179"/>
      <c r="K36" s="179"/>
      <c r="L36" s="180"/>
      <c r="M36" s="78"/>
      <c r="N36" s="80"/>
      <c r="O36" s="80"/>
      <c r="P36" s="80"/>
      <c r="Q36" s="80"/>
      <c r="R36" s="78"/>
      <c r="S36" s="80"/>
      <c r="T36" s="80"/>
      <c r="U36" s="80"/>
      <c r="V36" s="78"/>
      <c r="W36" s="80"/>
      <c r="X36" s="80"/>
      <c r="Y36" s="80"/>
      <c r="Z36" s="78"/>
      <c r="AA36" s="80"/>
      <c r="AB36" s="81"/>
      <c r="AC36" s="81"/>
      <c r="AD36" s="81"/>
      <c r="AE36" s="82"/>
      <c r="AF36" s="81"/>
      <c r="AG36" s="81"/>
      <c r="AH36" s="81"/>
      <c r="AI36" s="81"/>
      <c r="AJ36" s="83"/>
      <c r="AK36" s="81"/>
      <c r="AL36" s="81"/>
      <c r="AM36" s="81"/>
      <c r="AN36" s="81"/>
      <c r="AO36" s="83"/>
      <c r="AP36" s="81"/>
      <c r="AQ36" s="81"/>
      <c r="AR36" s="81"/>
      <c r="AS36" s="83"/>
      <c r="AT36" s="81"/>
      <c r="AU36" s="81"/>
      <c r="AV36" s="81"/>
      <c r="AW36" s="81"/>
      <c r="AX36" s="82"/>
      <c r="AY36" s="81"/>
      <c r="AZ36" s="81"/>
      <c r="BA36" s="81"/>
      <c r="BB36" s="82"/>
      <c r="BC36" s="81"/>
      <c r="BD36" s="81"/>
      <c r="BE36" s="81"/>
      <c r="BF36" s="81"/>
      <c r="BG36" s="83"/>
      <c r="BH36" s="81"/>
      <c r="BI36" s="81"/>
      <c r="BJ36" s="81"/>
      <c r="BK36" s="81"/>
      <c r="BL36" s="83"/>
      <c r="BM36" s="81"/>
      <c r="BN36" s="81"/>
      <c r="BO36" s="81"/>
      <c r="BP36" s="83"/>
      <c r="BQ36" s="81"/>
      <c r="BR36" s="81"/>
      <c r="BS36" s="81"/>
      <c r="BT36" s="81"/>
      <c r="BU36" s="82"/>
      <c r="BV36" s="81"/>
      <c r="BW36" s="81"/>
      <c r="BX36" s="81"/>
      <c r="BY36" s="82"/>
      <c r="BZ36" s="81"/>
      <c r="CA36" s="81"/>
      <c r="CB36" s="81"/>
      <c r="CC36" s="81"/>
      <c r="CD36" s="83"/>
      <c r="CE36" s="81"/>
      <c r="CF36" s="81"/>
      <c r="CG36" s="24"/>
      <c r="CH36" s="25"/>
      <c r="CI36" s="26"/>
      <c r="CJ36" s="28"/>
      <c r="CK36" s="25"/>
      <c r="CL36" s="30"/>
    </row>
    <row r="37" spans="1:90" ht="12.75">
      <c r="A37" s="176">
        <f t="shared" si="3"/>
        <v>33</v>
      </c>
      <c r="B37" s="177"/>
      <c r="C37" s="203" t="s">
        <v>36</v>
      </c>
      <c r="D37" s="204"/>
      <c r="E37" s="204"/>
      <c r="F37" s="204"/>
      <c r="G37" s="204"/>
      <c r="H37" s="204"/>
      <c r="I37" s="204"/>
      <c r="J37" s="204"/>
      <c r="K37" s="204"/>
      <c r="L37" s="205"/>
      <c r="M37" s="78"/>
      <c r="N37" s="80"/>
      <c r="O37" s="80"/>
      <c r="P37" s="80"/>
      <c r="Q37" s="80"/>
      <c r="R37" s="78"/>
      <c r="S37" s="80"/>
      <c r="T37" s="80"/>
      <c r="U37" s="80"/>
      <c r="V37" s="78"/>
      <c r="W37" s="80"/>
      <c r="X37" s="80"/>
      <c r="Y37" s="80"/>
      <c r="Z37" s="80"/>
      <c r="AA37" s="80"/>
      <c r="AB37" s="81"/>
      <c r="AC37" s="81"/>
      <c r="AD37" s="81"/>
      <c r="AE37" s="82"/>
      <c r="AF37" s="81"/>
      <c r="AG37" s="81"/>
      <c r="AH37" s="81"/>
      <c r="AI37" s="81"/>
      <c r="AJ37" s="83"/>
      <c r="AK37" s="81"/>
      <c r="AL37" s="81"/>
      <c r="AM37" s="81"/>
      <c r="AN37" s="81"/>
      <c r="AO37" s="83"/>
      <c r="AP37" s="81"/>
      <c r="AQ37" s="81"/>
      <c r="AR37" s="81"/>
      <c r="AS37" s="83"/>
      <c r="AT37" s="81"/>
      <c r="AU37" s="81"/>
      <c r="AV37" s="81"/>
      <c r="AW37" s="81"/>
      <c r="AX37" s="82"/>
      <c r="AY37" s="81"/>
      <c r="AZ37" s="81"/>
      <c r="BA37" s="81"/>
      <c r="BB37" s="82"/>
      <c r="BC37" s="81"/>
      <c r="BD37" s="81"/>
      <c r="BE37" s="81"/>
      <c r="BF37" s="81"/>
      <c r="BG37" s="83"/>
      <c r="BH37" s="81"/>
      <c r="BI37" s="81"/>
      <c r="BJ37" s="81"/>
      <c r="BK37" s="81"/>
      <c r="BL37" s="83"/>
      <c r="BM37" s="81"/>
      <c r="BN37" s="81"/>
      <c r="BO37" s="81"/>
      <c r="BP37" s="83"/>
      <c r="BQ37" s="81"/>
      <c r="BR37" s="81"/>
      <c r="BS37" s="81"/>
      <c r="BT37" s="81"/>
      <c r="BU37" s="82"/>
      <c r="BV37" s="81"/>
      <c r="BW37" s="81"/>
      <c r="BX37" s="81"/>
      <c r="BY37" s="82"/>
      <c r="BZ37" s="81"/>
      <c r="CA37" s="81"/>
      <c r="CB37" s="81"/>
      <c r="CC37" s="81"/>
      <c r="CD37" s="83"/>
      <c r="CE37" s="81"/>
      <c r="CF37" s="81"/>
      <c r="CG37" s="24"/>
      <c r="CH37" s="25"/>
      <c r="CI37" s="26"/>
      <c r="CJ37" s="28"/>
      <c r="CK37" s="25"/>
      <c r="CL37" s="30"/>
    </row>
    <row r="38" spans="1:90" ht="26.45" customHeight="1">
      <c r="A38" s="176">
        <f t="shared" si="3"/>
        <v>34</v>
      </c>
      <c r="B38" s="177"/>
      <c r="C38" s="203" t="s">
        <v>37</v>
      </c>
      <c r="D38" s="204"/>
      <c r="E38" s="204"/>
      <c r="F38" s="204"/>
      <c r="G38" s="204"/>
      <c r="H38" s="204"/>
      <c r="I38" s="204"/>
      <c r="J38" s="204"/>
      <c r="K38" s="204"/>
      <c r="L38" s="205"/>
      <c r="M38" s="78"/>
      <c r="N38" s="80"/>
      <c r="O38" s="80"/>
      <c r="P38" s="80"/>
      <c r="Q38" s="80"/>
      <c r="R38" s="78"/>
      <c r="S38" s="80"/>
      <c r="T38" s="80"/>
      <c r="U38" s="80"/>
      <c r="V38" s="78"/>
      <c r="W38" s="80">
        <v>1</v>
      </c>
      <c r="X38" s="80"/>
      <c r="Y38" s="80"/>
      <c r="Z38" s="80"/>
      <c r="AA38" s="80"/>
      <c r="AB38" s="81"/>
      <c r="AC38" s="81"/>
      <c r="AD38" s="81"/>
      <c r="AE38" s="82"/>
      <c r="AF38" s="81"/>
      <c r="AG38" s="81"/>
      <c r="AH38" s="81"/>
      <c r="AI38" s="81"/>
      <c r="AJ38" s="83"/>
      <c r="AK38" s="81"/>
      <c r="AL38" s="81"/>
      <c r="AM38" s="81"/>
      <c r="AN38" s="81"/>
      <c r="AO38" s="83"/>
      <c r="AP38" s="81"/>
      <c r="AQ38" s="81"/>
      <c r="AR38" s="81"/>
      <c r="AS38" s="83"/>
      <c r="AT38" s="81"/>
      <c r="AU38" s="81"/>
      <c r="AV38" s="81"/>
      <c r="AW38" s="81"/>
      <c r="AX38" s="82"/>
      <c r="AY38" s="81"/>
      <c r="AZ38" s="81"/>
      <c r="BA38" s="81"/>
      <c r="BB38" s="82"/>
      <c r="BC38" s="81"/>
      <c r="BD38" s="81"/>
      <c r="BE38" s="81"/>
      <c r="BF38" s="81"/>
      <c r="BG38" s="83"/>
      <c r="BH38" s="81"/>
      <c r="BI38" s="81"/>
      <c r="BJ38" s="81"/>
      <c r="BK38" s="81"/>
      <c r="BL38" s="83"/>
      <c r="BM38" s="81"/>
      <c r="BN38" s="81"/>
      <c r="BO38" s="81"/>
      <c r="BP38" s="83"/>
      <c r="BQ38" s="81"/>
      <c r="BR38" s="81"/>
      <c r="BS38" s="81"/>
      <c r="BT38" s="81"/>
      <c r="BU38" s="82"/>
      <c r="BV38" s="81"/>
      <c r="BW38" s="81"/>
      <c r="BX38" s="81"/>
      <c r="BY38" s="82"/>
      <c r="BZ38" s="81"/>
      <c r="CA38" s="81"/>
      <c r="CB38" s="81"/>
      <c r="CC38" s="81"/>
      <c r="CD38" s="83"/>
      <c r="CE38" s="81"/>
      <c r="CF38" s="81"/>
      <c r="CG38" s="24"/>
      <c r="CH38" s="25"/>
      <c r="CI38" s="26"/>
      <c r="CJ38" s="28"/>
      <c r="CK38" s="25"/>
      <c r="CL38" s="30"/>
    </row>
    <row r="39" spans="1:90" ht="26.45" customHeight="1">
      <c r="A39" s="176">
        <f t="shared" si="3"/>
        <v>35</v>
      </c>
      <c r="B39" s="177"/>
      <c r="C39" s="203" t="s">
        <v>38</v>
      </c>
      <c r="D39" s="204"/>
      <c r="E39" s="204"/>
      <c r="F39" s="204"/>
      <c r="G39" s="204"/>
      <c r="H39" s="204"/>
      <c r="I39" s="204"/>
      <c r="J39" s="204"/>
      <c r="K39" s="204"/>
      <c r="L39" s="205"/>
      <c r="M39" s="78"/>
      <c r="N39" s="80"/>
      <c r="O39" s="80"/>
      <c r="P39" s="80"/>
      <c r="Q39" s="80">
        <v>1</v>
      </c>
      <c r="R39" s="78"/>
      <c r="S39" s="80"/>
      <c r="T39" s="80"/>
      <c r="U39" s="80"/>
      <c r="V39" s="78"/>
      <c r="W39" s="80"/>
      <c r="X39" s="80"/>
      <c r="Y39" s="80"/>
      <c r="Z39" s="80"/>
      <c r="AA39" s="80"/>
      <c r="AB39" s="81"/>
      <c r="AC39" s="81"/>
      <c r="AD39" s="81"/>
      <c r="AE39" s="82"/>
      <c r="AF39" s="81"/>
      <c r="AG39" s="81"/>
      <c r="AH39" s="81"/>
      <c r="AI39" s="81"/>
      <c r="AJ39" s="83"/>
      <c r="AK39" s="81"/>
      <c r="AL39" s="81"/>
      <c r="AM39" s="81"/>
      <c r="AN39" s="81"/>
      <c r="AO39" s="83"/>
      <c r="AP39" s="81"/>
      <c r="AQ39" s="81"/>
      <c r="AR39" s="81"/>
      <c r="AS39" s="83"/>
      <c r="AT39" s="81"/>
      <c r="AU39" s="81"/>
      <c r="AV39" s="81"/>
      <c r="AW39" s="81"/>
      <c r="AX39" s="82"/>
      <c r="AY39" s="81"/>
      <c r="AZ39" s="81"/>
      <c r="BA39" s="81"/>
      <c r="BB39" s="82"/>
      <c r="BC39" s="81"/>
      <c r="BD39" s="81"/>
      <c r="BE39" s="81"/>
      <c r="BF39" s="81"/>
      <c r="BG39" s="83"/>
      <c r="BH39" s="81"/>
      <c r="BI39" s="81"/>
      <c r="BJ39" s="81"/>
      <c r="BK39" s="81"/>
      <c r="BL39" s="83"/>
      <c r="BM39" s="81"/>
      <c r="BN39" s="81"/>
      <c r="BO39" s="81"/>
      <c r="BP39" s="83"/>
      <c r="BQ39" s="81"/>
      <c r="BR39" s="81"/>
      <c r="BS39" s="81"/>
      <c r="BT39" s="81"/>
      <c r="BU39" s="82"/>
      <c r="BV39" s="81"/>
      <c r="BW39" s="81"/>
      <c r="BX39" s="81"/>
      <c r="BY39" s="82"/>
      <c r="BZ39" s="81"/>
      <c r="CA39" s="81"/>
      <c r="CB39" s="81"/>
      <c r="CC39" s="81"/>
      <c r="CD39" s="83"/>
      <c r="CE39" s="81"/>
      <c r="CF39" s="81"/>
      <c r="CG39" s="24"/>
      <c r="CH39" s="25"/>
      <c r="CI39" s="26"/>
      <c r="CJ39" s="28"/>
      <c r="CK39" s="25"/>
      <c r="CL39" s="30"/>
    </row>
    <row r="40" spans="1:90" ht="12.75">
      <c r="A40" s="176">
        <f t="shared" si="3"/>
        <v>36</v>
      </c>
      <c r="B40" s="177"/>
      <c r="C40" s="203" t="s">
        <v>39</v>
      </c>
      <c r="D40" s="204"/>
      <c r="E40" s="204"/>
      <c r="F40" s="204"/>
      <c r="G40" s="204"/>
      <c r="H40" s="204"/>
      <c r="I40" s="204"/>
      <c r="J40" s="204"/>
      <c r="K40" s="204"/>
      <c r="L40" s="205"/>
      <c r="M40" s="78"/>
      <c r="N40" s="80"/>
      <c r="O40" s="80"/>
      <c r="P40" s="80"/>
      <c r="Q40" s="80"/>
      <c r="R40" s="78"/>
      <c r="S40" s="80"/>
      <c r="T40" s="80"/>
      <c r="U40" s="80"/>
      <c r="V40" s="78"/>
      <c r="W40" s="80"/>
      <c r="X40" s="80"/>
      <c r="Y40" s="80"/>
      <c r="Z40" s="80"/>
      <c r="AA40" s="80"/>
      <c r="AB40" s="81"/>
      <c r="AC40" s="81"/>
      <c r="AD40" s="81"/>
      <c r="AE40" s="82"/>
      <c r="AF40" s="81"/>
      <c r="AG40" s="81"/>
      <c r="AH40" s="81"/>
      <c r="AI40" s="81"/>
      <c r="AJ40" s="83"/>
      <c r="AK40" s="81"/>
      <c r="AL40" s="81"/>
      <c r="AM40" s="81"/>
      <c r="AN40" s="81"/>
      <c r="AO40" s="83"/>
      <c r="AP40" s="81"/>
      <c r="AQ40" s="81"/>
      <c r="AR40" s="81"/>
      <c r="AS40" s="83"/>
      <c r="AT40" s="81"/>
      <c r="AU40" s="81"/>
      <c r="AV40" s="81"/>
      <c r="AW40" s="81"/>
      <c r="AX40" s="82"/>
      <c r="AY40" s="81"/>
      <c r="AZ40" s="81"/>
      <c r="BA40" s="81"/>
      <c r="BB40" s="82"/>
      <c r="BC40" s="81"/>
      <c r="BD40" s="81"/>
      <c r="BE40" s="81"/>
      <c r="BF40" s="81"/>
      <c r="BG40" s="83"/>
      <c r="BH40" s="81"/>
      <c r="BI40" s="81"/>
      <c r="BJ40" s="81"/>
      <c r="BK40" s="81"/>
      <c r="BL40" s="83"/>
      <c r="BM40" s="81"/>
      <c r="BN40" s="81"/>
      <c r="BO40" s="81"/>
      <c r="BP40" s="83"/>
      <c r="BQ40" s="81"/>
      <c r="BR40" s="81"/>
      <c r="BS40" s="81"/>
      <c r="BT40" s="81"/>
      <c r="BU40" s="82"/>
      <c r="BV40" s="81"/>
      <c r="BW40" s="81"/>
      <c r="BX40" s="81"/>
      <c r="BY40" s="82"/>
      <c r="BZ40" s="81"/>
      <c r="CA40" s="81"/>
      <c r="CB40" s="81"/>
      <c r="CC40" s="81"/>
      <c r="CD40" s="83"/>
      <c r="CE40" s="81"/>
      <c r="CF40" s="81"/>
      <c r="CG40" s="24"/>
      <c r="CH40" s="25"/>
      <c r="CI40" s="26"/>
      <c r="CJ40" s="28"/>
      <c r="CK40" s="25"/>
      <c r="CL40" s="30"/>
    </row>
    <row r="41" spans="1:90" ht="26.45" customHeight="1">
      <c r="A41" s="176">
        <f t="shared" si="3"/>
        <v>37</v>
      </c>
      <c r="B41" s="177"/>
      <c r="C41" s="209" t="s">
        <v>40</v>
      </c>
      <c r="D41" s="210"/>
      <c r="E41" s="210"/>
      <c r="F41" s="210"/>
      <c r="G41" s="210"/>
      <c r="H41" s="210"/>
      <c r="I41" s="210"/>
      <c r="J41" s="210"/>
      <c r="K41" s="210"/>
      <c r="L41" s="211"/>
      <c r="M41" s="78"/>
      <c r="N41" s="80"/>
      <c r="O41" s="80"/>
      <c r="P41" s="80"/>
      <c r="Q41" s="80">
        <v>1</v>
      </c>
      <c r="R41" s="78"/>
      <c r="S41" s="80"/>
      <c r="T41" s="80"/>
      <c r="U41" s="80"/>
      <c r="V41" s="78"/>
      <c r="W41" s="80"/>
      <c r="X41" s="80"/>
      <c r="Y41" s="80"/>
      <c r="Z41" s="80"/>
      <c r="AA41" s="80"/>
      <c r="AB41" s="81"/>
      <c r="AC41" s="81"/>
      <c r="AD41" s="81"/>
      <c r="AE41" s="82"/>
      <c r="AF41" s="81"/>
      <c r="AG41" s="81"/>
      <c r="AH41" s="81"/>
      <c r="AI41" s="81"/>
      <c r="AJ41" s="83"/>
      <c r="AK41" s="81"/>
      <c r="AL41" s="81"/>
      <c r="AM41" s="81"/>
      <c r="AN41" s="81"/>
      <c r="AO41" s="83"/>
      <c r="AP41" s="81"/>
      <c r="AQ41" s="81"/>
      <c r="AR41" s="81"/>
      <c r="AS41" s="83"/>
      <c r="AT41" s="81"/>
      <c r="AU41" s="81"/>
      <c r="AV41" s="81"/>
      <c r="AW41" s="81"/>
      <c r="AX41" s="82"/>
      <c r="AY41" s="81"/>
      <c r="AZ41" s="81"/>
      <c r="BA41" s="81"/>
      <c r="BB41" s="82"/>
      <c r="BC41" s="81"/>
      <c r="BD41" s="81"/>
      <c r="BE41" s="81"/>
      <c r="BF41" s="81"/>
      <c r="BG41" s="83"/>
      <c r="BH41" s="81"/>
      <c r="BI41" s="81"/>
      <c r="BJ41" s="81"/>
      <c r="BK41" s="81"/>
      <c r="BL41" s="83"/>
      <c r="BM41" s="81"/>
      <c r="BN41" s="81"/>
      <c r="BO41" s="81"/>
      <c r="BP41" s="83"/>
      <c r="BQ41" s="81"/>
      <c r="BR41" s="81"/>
      <c r="BS41" s="81"/>
      <c r="BT41" s="81"/>
      <c r="BU41" s="82"/>
      <c r="BV41" s="81"/>
      <c r="BW41" s="81"/>
      <c r="BX41" s="81"/>
      <c r="BY41" s="82"/>
      <c r="BZ41" s="81"/>
      <c r="CA41" s="81"/>
      <c r="CB41" s="81"/>
      <c r="CC41" s="81"/>
      <c r="CD41" s="83"/>
      <c r="CE41" s="81"/>
      <c r="CF41" s="81"/>
      <c r="CG41" s="24"/>
      <c r="CH41" s="25"/>
      <c r="CI41" s="26"/>
      <c r="CJ41" s="28"/>
      <c r="CK41" s="25"/>
      <c r="CL41" s="30"/>
    </row>
    <row r="42" spans="1:90" ht="26.45" customHeight="1">
      <c r="A42" s="176">
        <f t="shared" si="3"/>
        <v>38</v>
      </c>
      <c r="B42" s="177"/>
      <c r="C42" s="203" t="s">
        <v>41</v>
      </c>
      <c r="D42" s="204"/>
      <c r="E42" s="204"/>
      <c r="F42" s="204"/>
      <c r="G42" s="204"/>
      <c r="H42" s="204"/>
      <c r="I42" s="204"/>
      <c r="J42" s="204"/>
      <c r="K42" s="204"/>
      <c r="L42" s="205"/>
      <c r="M42" s="78"/>
      <c r="N42" s="80"/>
      <c r="O42" s="80"/>
      <c r="P42" s="80"/>
      <c r="Q42" s="80">
        <v>1</v>
      </c>
      <c r="R42" s="78"/>
      <c r="S42" s="79"/>
      <c r="T42" s="79">
        <v>1</v>
      </c>
      <c r="U42" s="79"/>
      <c r="V42" s="78">
        <v>1</v>
      </c>
      <c r="W42" s="80">
        <v>1</v>
      </c>
      <c r="X42" s="80">
        <v>1</v>
      </c>
      <c r="Y42" s="80">
        <v>1</v>
      </c>
      <c r="Z42" s="80">
        <v>1</v>
      </c>
      <c r="AA42" s="80"/>
      <c r="AB42" s="81"/>
      <c r="AC42" s="81"/>
      <c r="AD42" s="81">
        <v>1</v>
      </c>
      <c r="AE42" s="82">
        <v>1</v>
      </c>
      <c r="AF42" s="81"/>
      <c r="AG42" s="81">
        <v>1</v>
      </c>
      <c r="AH42" s="81"/>
      <c r="AI42" s="81"/>
      <c r="AJ42" s="83">
        <v>1</v>
      </c>
      <c r="AK42" s="81">
        <v>1</v>
      </c>
      <c r="AL42" s="81"/>
      <c r="AM42" s="81"/>
      <c r="AN42" s="81"/>
      <c r="AO42" s="83"/>
      <c r="AP42" s="81"/>
      <c r="AQ42" s="81"/>
      <c r="AR42" s="81"/>
      <c r="AS42" s="83"/>
      <c r="AT42" s="81"/>
      <c r="AU42" s="81"/>
      <c r="AV42" s="81"/>
      <c r="AW42" s="81"/>
      <c r="AX42" s="82"/>
      <c r="AY42" s="81"/>
      <c r="AZ42" s="81"/>
      <c r="BA42" s="81"/>
      <c r="BB42" s="82"/>
      <c r="BC42" s="81"/>
      <c r="BD42" s="81"/>
      <c r="BE42" s="81"/>
      <c r="BF42" s="81"/>
      <c r="BG42" s="83"/>
      <c r="BH42" s="81"/>
      <c r="BI42" s="81"/>
      <c r="BJ42" s="81"/>
      <c r="BK42" s="81"/>
      <c r="BL42" s="83"/>
      <c r="BM42" s="81"/>
      <c r="BN42" s="81"/>
      <c r="BO42" s="81"/>
      <c r="BP42" s="83"/>
      <c r="BQ42" s="81"/>
      <c r="BR42" s="81"/>
      <c r="BS42" s="81"/>
      <c r="BT42" s="81"/>
      <c r="BU42" s="82"/>
      <c r="BV42" s="81"/>
      <c r="BW42" s="81"/>
      <c r="BX42" s="81"/>
      <c r="BY42" s="82"/>
      <c r="BZ42" s="81"/>
      <c r="CA42" s="81"/>
      <c r="CB42" s="81"/>
      <c r="CC42" s="81"/>
      <c r="CD42" s="83"/>
      <c r="CE42" s="81"/>
      <c r="CF42" s="81"/>
      <c r="CG42" s="24"/>
      <c r="CH42" s="25"/>
      <c r="CI42" s="26"/>
      <c r="CJ42" s="28"/>
      <c r="CK42" s="25"/>
      <c r="CL42" s="30"/>
    </row>
    <row r="43" spans="1:90" ht="12.75">
      <c r="A43" s="176">
        <f t="shared" si="3"/>
        <v>39</v>
      </c>
      <c r="B43" s="177"/>
      <c r="C43" s="203" t="s">
        <v>42</v>
      </c>
      <c r="D43" s="204"/>
      <c r="E43" s="204"/>
      <c r="F43" s="204"/>
      <c r="G43" s="204"/>
      <c r="H43" s="204"/>
      <c r="I43" s="204"/>
      <c r="J43" s="204"/>
      <c r="K43" s="204"/>
      <c r="L43" s="205"/>
      <c r="M43" s="78">
        <v>1</v>
      </c>
      <c r="N43" s="80"/>
      <c r="O43" s="80"/>
      <c r="P43" s="80"/>
      <c r="Q43" s="80">
        <v>1</v>
      </c>
      <c r="R43" s="78"/>
      <c r="S43" s="80"/>
      <c r="T43" s="80"/>
      <c r="U43" s="80"/>
      <c r="V43" s="78"/>
      <c r="W43" s="80"/>
      <c r="X43" s="80"/>
      <c r="Y43" s="80"/>
      <c r="Z43" s="80"/>
      <c r="AA43" s="80"/>
      <c r="AB43" s="81"/>
      <c r="AC43" s="81"/>
      <c r="AD43" s="81"/>
      <c r="AE43" s="82"/>
      <c r="AF43" s="81"/>
      <c r="AG43" s="81"/>
      <c r="AH43" s="81"/>
      <c r="AI43" s="81"/>
      <c r="AJ43" s="77"/>
      <c r="AK43" s="75"/>
      <c r="AL43" s="75"/>
      <c r="AM43" s="75"/>
      <c r="AN43" s="75"/>
      <c r="AO43" s="77"/>
      <c r="AP43" s="75"/>
      <c r="AQ43" s="75"/>
      <c r="AR43" s="75"/>
      <c r="AS43" s="77"/>
      <c r="AT43" s="75"/>
      <c r="AU43" s="75"/>
      <c r="AV43" s="75"/>
      <c r="AW43" s="75"/>
      <c r="AX43" s="82"/>
      <c r="AY43" s="81"/>
      <c r="AZ43" s="81"/>
      <c r="BA43" s="81"/>
      <c r="BB43" s="82"/>
      <c r="BC43" s="81"/>
      <c r="BD43" s="81"/>
      <c r="BE43" s="81"/>
      <c r="BF43" s="81"/>
      <c r="BG43" s="77"/>
      <c r="BH43" s="75"/>
      <c r="BI43" s="75"/>
      <c r="BJ43" s="75"/>
      <c r="BK43" s="75"/>
      <c r="BL43" s="77"/>
      <c r="BM43" s="75"/>
      <c r="BN43" s="75"/>
      <c r="BO43" s="75"/>
      <c r="BP43" s="77"/>
      <c r="BQ43" s="75"/>
      <c r="BR43" s="75"/>
      <c r="BS43" s="75"/>
      <c r="BT43" s="75"/>
      <c r="BU43" s="82"/>
      <c r="BV43" s="81"/>
      <c r="BW43" s="81"/>
      <c r="BX43" s="81"/>
      <c r="BY43" s="82"/>
      <c r="BZ43" s="81"/>
      <c r="CA43" s="81"/>
      <c r="CB43" s="81"/>
      <c r="CC43" s="81"/>
      <c r="CD43" s="77"/>
      <c r="CE43" s="75"/>
      <c r="CF43" s="75"/>
      <c r="CG43" s="24"/>
      <c r="CH43" s="25"/>
      <c r="CI43" s="26"/>
      <c r="CJ43" s="28"/>
      <c r="CK43" s="25"/>
      <c r="CL43" s="30"/>
    </row>
    <row r="44" spans="1:90" ht="26.45" customHeight="1">
      <c r="A44" s="176">
        <f t="shared" si="3"/>
        <v>40</v>
      </c>
      <c r="B44" s="177"/>
      <c r="C44" s="203" t="s">
        <v>43</v>
      </c>
      <c r="D44" s="204"/>
      <c r="E44" s="204"/>
      <c r="F44" s="204"/>
      <c r="G44" s="204"/>
      <c r="H44" s="204"/>
      <c r="I44" s="204"/>
      <c r="J44" s="204"/>
      <c r="K44" s="204"/>
      <c r="L44" s="205"/>
      <c r="M44" s="78"/>
      <c r="N44" s="80"/>
      <c r="O44" s="80"/>
      <c r="P44" s="80"/>
      <c r="Q44" s="80"/>
      <c r="R44" s="78"/>
      <c r="S44" s="80"/>
      <c r="T44" s="80"/>
      <c r="U44" s="80"/>
      <c r="V44" s="78"/>
      <c r="W44" s="80"/>
      <c r="X44" s="80"/>
      <c r="Y44" s="80"/>
      <c r="Z44" s="80"/>
      <c r="AA44" s="80"/>
      <c r="AB44" s="75"/>
      <c r="AC44" s="75"/>
      <c r="AD44" s="75"/>
      <c r="AE44" s="76"/>
      <c r="AF44" s="75"/>
      <c r="AG44" s="75"/>
      <c r="AH44" s="75"/>
      <c r="AI44" s="75"/>
      <c r="AJ44" s="77"/>
      <c r="AK44" s="75"/>
      <c r="AL44" s="75"/>
      <c r="AM44" s="75"/>
      <c r="AN44" s="75"/>
      <c r="AO44" s="77"/>
      <c r="AP44" s="75"/>
      <c r="AQ44" s="75"/>
      <c r="AR44" s="75"/>
      <c r="AS44" s="77"/>
      <c r="AT44" s="75"/>
      <c r="AU44" s="75"/>
      <c r="AV44" s="75"/>
      <c r="AW44" s="75"/>
      <c r="AX44" s="76"/>
      <c r="AY44" s="75"/>
      <c r="AZ44" s="75"/>
      <c r="BA44" s="75"/>
      <c r="BB44" s="76"/>
      <c r="BC44" s="75"/>
      <c r="BD44" s="75"/>
      <c r="BE44" s="75"/>
      <c r="BF44" s="75"/>
      <c r="BG44" s="77"/>
      <c r="BH44" s="75"/>
      <c r="BI44" s="75"/>
      <c r="BJ44" s="75"/>
      <c r="BK44" s="75"/>
      <c r="BL44" s="77"/>
      <c r="BM44" s="75"/>
      <c r="BN44" s="75"/>
      <c r="BO44" s="75"/>
      <c r="BP44" s="77"/>
      <c r="BQ44" s="75"/>
      <c r="BR44" s="75"/>
      <c r="BS44" s="75"/>
      <c r="BT44" s="75"/>
      <c r="BU44" s="76"/>
      <c r="BV44" s="75"/>
      <c r="BW44" s="75"/>
      <c r="BX44" s="75"/>
      <c r="BY44" s="76"/>
      <c r="BZ44" s="75"/>
      <c r="CA44" s="75"/>
      <c r="CB44" s="75"/>
      <c r="CC44" s="75"/>
      <c r="CD44" s="77"/>
      <c r="CE44" s="75"/>
      <c r="CF44" s="75"/>
      <c r="CG44" s="24"/>
      <c r="CH44" s="25"/>
      <c r="CI44" s="26"/>
      <c r="CJ44" s="28"/>
      <c r="CK44" s="25"/>
      <c r="CL44" s="30"/>
    </row>
    <row r="45" spans="1:90" ht="26.45" customHeight="1">
      <c r="A45" s="176">
        <f t="shared" si="3"/>
        <v>41</v>
      </c>
      <c r="B45" s="177"/>
      <c r="C45" s="178" t="s">
        <v>44</v>
      </c>
      <c r="D45" s="179"/>
      <c r="E45" s="179"/>
      <c r="F45" s="179"/>
      <c r="G45" s="179"/>
      <c r="H45" s="179"/>
      <c r="I45" s="179"/>
      <c r="J45" s="179"/>
      <c r="K45" s="179"/>
      <c r="L45" s="180"/>
      <c r="M45" s="78"/>
      <c r="N45" s="80"/>
      <c r="O45" s="80"/>
      <c r="P45" s="80"/>
      <c r="Q45" s="80"/>
      <c r="R45" s="78"/>
      <c r="S45" s="80"/>
      <c r="T45" s="80"/>
      <c r="U45" s="80"/>
      <c r="V45" s="78"/>
      <c r="W45" s="80"/>
      <c r="X45" s="80"/>
      <c r="Y45" s="80"/>
      <c r="Z45" s="80"/>
      <c r="AA45" s="80"/>
      <c r="AB45" s="81"/>
      <c r="AC45" s="81"/>
      <c r="AD45" s="81"/>
      <c r="AE45" s="82"/>
      <c r="AF45" s="81"/>
      <c r="AG45" s="81"/>
      <c r="AH45" s="81"/>
      <c r="AI45" s="81"/>
      <c r="AJ45" s="83"/>
      <c r="AK45" s="81"/>
      <c r="AL45" s="81"/>
      <c r="AM45" s="81"/>
      <c r="AN45" s="81"/>
      <c r="AO45" s="83"/>
      <c r="AP45" s="81"/>
      <c r="AQ45" s="81"/>
      <c r="AR45" s="81"/>
      <c r="AS45" s="83"/>
      <c r="AT45" s="81"/>
      <c r="AU45" s="81"/>
      <c r="AV45" s="81"/>
      <c r="AW45" s="81"/>
      <c r="AX45" s="82"/>
      <c r="AY45" s="81"/>
      <c r="AZ45" s="81"/>
      <c r="BA45" s="81"/>
      <c r="BB45" s="82"/>
      <c r="BC45" s="81"/>
      <c r="BD45" s="81"/>
      <c r="BE45" s="81"/>
      <c r="BF45" s="81"/>
      <c r="BG45" s="83"/>
      <c r="BH45" s="81"/>
      <c r="BI45" s="81"/>
      <c r="BJ45" s="81"/>
      <c r="BK45" s="81"/>
      <c r="BL45" s="83"/>
      <c r="BM45" s="81"/>
      <c r="BN45" s="81"/>
      <c r="BO45" s="81"/>
      <c r="BP45" s="83"/>
      <c r="BQ45" s="81"/>
      <c r="BR45" s="81"/>
      <c r="BS45" s="81"/>
      <c r="BT45" s="81"/>
      <c r="BU45" s="82"/>
      <c r="BV45" s="81"/>
      <c r="BW45" s="81"/>
      <c r="BX45" s="81"/>
      <c r="BY45" s="82"/>
      <c r="BZ45" s="81"/>
      <c r="CA45" s="81"/>
      <c r="CB45" s="81"/>
      <c r="CC45" s="81"/>
      <c r="CD45" s="83"/>
      <c r="CE45" s="81"/>
      <c r="CF45" s="81"/>
      <c r="CG45" s="24"/>
      <c r="CH45" s="25"/>
      <c r="CI45" s="26"/>
      <c r="CJ45" s="28"/>
      <c r="CK45" s="25"/>
      <c r="CL45" s="30"/>
    </row>
    <row r="46" spans="1:90" ht="26.45" customHeight="1">
      <c r="A46" s="176">
        <f t="shared" si="3"/>
        <v>42</v>
      </c>
      <c r="B46" s="177"/>
      <c r="C46" s="178" t="s">
        <v>45</v>
      </c>
      <c r="D46" s="179"/>
      <c r="E46" s="179"/>
      <c r="F46" s="179"/>
      <c r="G46" s="179"/>
      <c r="H46" s="179"/>
      <c r="I46" s="179"/>
      <c r="J46" s="179"/>
      <c r="K46" s="179"/>
      <c r="L46" s="180"/>
      <c r="M46" s="78"/>
      <c r="N46" s="80"/>
      <c r="O46" s="80"/>
      <c r="P46" s="80"/>
      <c r="Q46" s="80"/>
      <c r="R46" s="78"/>
      <c r="S46" s="80"/>
      <c r="T46" s="80"/>
      <c r="U46" s="80"/>
      <c r="V46" s="78"/>
      <c r="W46" s="80"/>
      <c r="X46" s="80"/>
      <c r="Y46" s="80"/>
      <c r="Z46" s="80"/>
      <c r="AA46" s="80"/>
      <c r="AB46" s="81"/>
      <c r="AC46" s="81"/>
      <c r="AD46" s="81"/>
      <c r="AE46" s="82"/>
      <c r="AF46" s="81"/>
      <c r="AG46" s="81"/>
      <c r="AH46" s="81"/>
      <c r="AI46" s="81"/>
      <c r="AJ46" s="83"/>
      <c r="AK46" s="81"/>
      <c r="AL46" s="81"/>
      <c r="AM46" s="81"/>
      <c r="AN46" s="81"/>
      <c r="AO46" s="83"/>
      <c r="AP46" s="81"/>
      <c r="AQ46" s="81"/>
      <c r="AR46" s="81"/>
      <c r="AS46" s="83"/>
      <c r="AT46" s="81"/>
      <c r="AU46" s="81"/>
      <c r="AV46" s="81"/>
      <c r="AW46" s="81"/>
      <c r="AX46" s="82"/>
      <c r="AY46" s="81"/>
      <c r="AZ46" s="81"/>
      <c r="BA46" s="81"/>
      <c r="BB46" s="82"/>
      <c r="BC46" s="81"/>
      <c r="BD46" s="81"/>
      <c r="BE46" s="81"/>
      <c r="BF46" s="81"/>
      <c r="BG46" s="83"/>
      <c r="BH46" s="81"/>
      <c r="BI46" s="81"/>
      <c r="BJ46" s="81"/>
      <c r="BK46" s="81"/>
      <c r="BL46" s="83"/>
      <c r="BM46" s="81"/>
      <c r="BN46" s="81"/>
      <c r="BO46" s="81"/>
      <c r="BP46" s="83"/>
      <c r="BQ46" s="81"/>
      <c r="BR46" s="81"/>
      <c r="BS46" s="81"/>
      <c r="BT46" s="81"/>
      <c r="BU46" s="82"/>
      <c r="BV46" s="81"/>
      <c r="BW46" s="81"/>
      <c r="BX46" s="81"/>
      <c r="BY46" s="82"/>
      <c r="BZ46" s="81"/>
      <c r="CA46" s="81"/>
      <c r="CB46" s="81"/>
      <c r="CC46" s="81"/>
      <c r="CD46" s="83"/>
      <c r="CE46" s="81"/>
      <c r="CF46" s="81"/>
      <c r="CG46" s="24"/>
      <c r="CH46" s="25"/>
      <c r="CI46" s="26"/>
      <c r="CJ46" s="28"/>
      <c r="CK46" s="25"/>
      <c r="CL46" s="30"/>
    </row>
    <row r="47" spans="1:90" ht="12.75">
      <c r="A47" s="176">
        <f t="shared" si="3"/>
        <v>43</v>
      </c>
      <c r="B47" s="177"/>
      <c r="C47" s="200" t="s">
        <v>46</v>
      </c>
      <c r="D47" s="201"/>
      <c r="E47" s="201"/>
      <c r="F47" s="201"/>
      <c r="G47" s="201"/>
      <c r="H47" s="201"/>
      <c r="I47" s="201"/>
      <c r="J47" s="201"/>
      <c r="K47" s="201"/>
      <c r="L47" s="202"/>
      <c r="M47" s="78"/>
      <c r="N47" s="80"/>
      <c r="O47" s="80"/>
      <c r="P47" s="80"/>
      <c r="Q47" s="80"/>
      <c r="R47" s="78"/>
      <c r="S47" s="80"/>
      <c r="T47" s="80"/>
      <c r="U47" s="80"/>
      <c r="V47" s="78"/>
      <c r="W47" s="80"/>
      <c r="X47" s="80"/>
      <c r="Y47" s="80"/>
      <c r="Z47" s="80"/>
      <c r="AA47" s="80"/>
      <c r="AB47" s="81"/>
      <c r="AC47" s="81"/>
      <c r="AD47" s="81"/>
      <c r="AE47" s="82"/>
      <c r="AF47" s="81"/>
      <c r="AG47" s="81"/>
      <c r="AH47" s="81"/>
      <c r="AI47" s="81"/>
      <c r="AJ47" s="83"/>
      <c r="AK47" s="81"/>
      <c r="AL47" s="81"/>
      <c r="AM47" s="81"/>
      <c r="AN47" s="81"/>
      <c r="AO47" s="83"/>
      <c r="AP47" s="81"/>
      <c r="AQ47" s="81"/>
      <c r="AR47" s="81"/>
      <c r="AS47" s="83"/>
      <c r="AT47" s="81"/>
      <c r="AU47" s="81"/>
      <c r="AV47" s="81"/>
      <c r="AW47" s="81"/>
      <c r="AX47" s="82"/>
      <c r="AY47" s="81"/>
      <c r="AZ47" s="81"/>
      <c r="BA47" s="81"/>
      <c r="BB47" s="82"/>
      <c r="BC47" s="81"/>
      <c r="BD47" s="81"/>
      <c r="BE47" s="81"/>
      <c r="BF47" s="81"/>
      <c r="BG47" s="83"/>
      <c r="BH47" s="81"/>
      <c r="BI47" s="81"/>
      <c r="BJ47" s="81"/>
      <c r="BK47" s="81"/>
      <c r="BL47" s="83"/>
      <c r="BM47" s="81"/>
      <c r="BN47" s="81"/>
      <c r="BO47" s="81"/>
      <c r="BP47" s="83"/>
      <c r="BQ47" s="81"/>
      <c r="BR47" s="81"/>
      <c r="BS47" s="81"/>
      <c r="BT47" s="81"/>
      <c r="BU47" s="82"/>
      <c r="BV47" s="81"/>
      <c r="BW47" s="81"/>
      <c r="BX47" s="81"/>
      <c r="BY47" s="82"/>
      <c r="BZ47" s="81"/>
      <c r="CA47" s="81"/>
      <c r="CB47" s="81"/>
      <c r="CC47" s="81"/>
      <c r="CD47" s="83"/>
      <c r="CE47" s="81"/>
      <c r="CF47" s="81"/>
      <c r="CG47" s="24"/>
      <c r="CH47" s="25"/>
      <c r="CI47" s="26"/>
      <c r="CJ47" s="28"/>
      <c r="CK47" s="25"/>
      <c r="CL47" s="30"/>
    </row>
    <row r="48" spans="1:90" ht="26.45" customHeight="1">
      <c r="A48" s="176">
        <f t="shared" si="3"/>
        <v>44</v>
      </c>
      <c r="B48" s="177"/>
      <c r="C48" s="206" t="s">
        <v>47</v>
      </c>
      <c r="D48" s="207"/>
      <c r="E48" s="207"/>
      <c r="F48" s="207"/>
      <c r="G48" s="207"/>
      <c r="H48" s="207"/>
      <c r="I48" s="207"/>
      <c r="J48" s="207"/>
      <c r="K48" s="207"/>
      <c r="L48" s="208"/>
      <c r="M48" s="78"/>
      <c r="N48" s="80"/>
      <c r="O48" s="80"/>
      <c r="P48" s="80"/>
      <c r="Q48" s="80"/>
      <c r="R48" s="78"/>
      <c r="S48" s="80"/>
      <c r="T48" s="80"/>
      <c r="U48" s="80"/>
      <c r="V48" s="78"/>
      <c r="W48" s="80"/>
      <c r="X48" s="80"/>
      <c r="Y48" s="80"/>
      <c r="Z48" s="80"/>
      <c r="AA48" s="80"/>
      <c r="AB48" s="81"/>
      <c r="AC48" s="81"/>
      <c r="AD48" s="81"/>
      <c r="AE48" s="82"/>
      <c r="AF48" s="81"/>
      <c r="AG48" s="81"/>
      <c r="AH48" s="81"/>
      <c r="AI48" s="81"/>
      <c r="AJ48" s="83"/>
      <c r="AK48" s="81"/>
      <c r="AL48" s="81"/>
      <c r="AM48" s="81"/>
      <c r="AN48" s="81"/>
      <c r="AO48" s="83"/>
      <c r="AP48" s="81"/>
      <c r="AQ48" s="81"/>
      <c r="AR48" s="81"/>
      <c r="AS48" s="83"/>
      <c r="AT48" s="81"/>
      <c r="AU48" s="81"/>
      <c r="AV48" s="81"/>
      <c r="AW48" s="81"/>
      <c r="AX48" s="82"/>
      <c r="AY48" s="81"/>
      <c r="AZ48" s="81"/>
      <c r="BA48" s="81"/>
      <c r="BB48" s="82"/>
      <c r="BC48" s="81"/>
      <c r="BD48" s="81"/>
      <c r="BE48" s="81"/>
      <c r="BF48" s="81"/>
      <c r="BG48" s="83"/>
      <c r="BH48" s="81"/>
      <c r="BI48" s="81"/>
      <c r="BJ48" s="81"/>
      <c r="BK48" s="81"/>
      <c r="BL48" s="83"/>
      <c r="BM48" s="81"/>
      <c r="BN48" s="81"/>
      <c r="BO48" s="81"/>
      <c r="BP48" s="83"/>
      <c r="BQ48" s="81"/>
      <c r="BR48" s="81"/>
      <c r="BS48" s="81"/>
      <c r="BT48" s="81"/>
      <c r="BU48" s="82"/>
      <c r="BV48" s="81"/>
      <c r="BW48" s="81"/>
      <c r="BX48" s="81"/>
      <c r="BY48" s="82"/>
      <c r="BZ48" s="81"/>
      <c r="CA48" s="81"/>
      <c r="CB48" s="81"/>
      <c r="CC48" s="81"/>
      <c r="CD48" s="83"/>
      <c r="CE48" s="81"/>
      <c r="CF48" s="81"/>
      <c r="CG48" s="24"/>
      <c r="CH48" s="25"/>
      <c r="CI48" s="26"/>
      <c r="CJ48" s="28"/>
      <c r="CK48" s="25"/>
      <c r="CL48" s="30"/>
    </row>
    <row r="49" spans="1:90" ht="26.45" customHeight="1">
      <c r="A49" s="176">
        <f t="shared" si="3"/>
        <v>45</v>
      </c>
      <c r="B49" s="177"/>
      <c r="C49" s="178" t="s">
        <v>48</v>
      </c>
      <c r="D49" s="179"/>
      <c r="E49" s="179"/>
      <c r="F49" s="179"/>
      <c r="G49" s="179"/>
      <c r="H49" s="179"/>
      <c r="I49" s="179"/>
      <c r="J49" s="179"/>
      <c r="K49" s="179"/>
      <c r="L49" s="180"/>
      <c r="M49" s="78"/>
      <c r="N49" s="80"/>
      <c r="O49" s="80"/>
      <c r="P49" s="80"/>
      <c r="Q49" s="80"/>
      <c r="R49" s="78"/>
      <c r="S49" s="80"/>
      <c r="T49" s="80"/>
      <c r="U49" s="80"/>
      <c r="V49" s="78"/>
      <c r="W49" s="80">
        <v>1</v>
      </c>
      <c r="X49" s="80"/>
      <c r="Y49" s="78">
        <v>1</v>
      </c>
      <c r="Z49" s="80"/>
      <c r="AA49" s="80"/>
      <c r="AB49" s="81"/>
      <c r="AC49" s="81"/>
      <c r="AD49" s="81"/>
      <c r="AE49" s="82"/>
      <c r="AF49" s="81"/>
      <c r="AG49" s="81"/>
      <c r="AH49" s="81"/>
      <c r="AI49" s="81"/>
      <c r="AJ49" s="83"/>
      <c r="AK49" s="81"/>
      <c r="AL49" s="81"/>
      <c r="AM49" s="81"/>
      <c r="AN49" s="81"/>
      <c r="AO49" s="83"/>
      <c r="AP49" s="81"/>
      <c r="AQ49" s="81"/>
      <c r="AR49" s="81"/>
      <c r="AS49" s="83"/>
      <c r="AT49" s="81"/>
      <c r="AU49" s="81"/>
      <c r="AV49" s="81"/>
      <c r="AW49" s="81"/>
      <c r="AX49" s="82"/>
      <c r="AY49" s="81"/>
      <c r="AZ49" s="81"/>
      <c r="BA49" s="81"/>
      <c r="BB49" s="82"/>
      <c r="BC49" s="81"/>
      <c r="BD49" s="81"/>
      <c r="BE49" s="81"/>
      <c r="BF49" s="81"/>
      <c r="BG49" s="83"/>
      <c r="BH49" s="81"/>
      <c r="BI49" s="81"/>
      <c r="BJ49" s="81"/>
      <c r="BK49" s="81"/>
      <c r="BL49" s="83"/>
      <c r="BM49" s="81"/>
      <c r="BN49" s="81"/>
      <c r="BO49" s="81"/>
      <c r="BP49" s="83"/>
      <c r="BQ49" s="81"/>
      <c r="BR49" s="81"/>
      <c r="BS49" s="81"/>
      <c r="BT49" s="81"/>
      <c r="BU49" s="82"/>
      <c r="BV49" s="81"/>
      <c r="BW49" s="81"/>
      <c r="BX49" s="81"/>
      <c r="BY49" s="82"/>
      <c r="BZ49" s="81"/>
      <c r="CA49" s="81"/>
      <c r="CB49" s="81"/>
      <c r="CC49" s="81"/>
      <c r="CD49" s="83"/>
      <c r="CE49" s="81"/>
      <c r="CF49" s="81"/>
      <c r="CG49" s="24"/>
      <c r="CH49" s="25"/>
      <c r="CI49" s="26"/>
      <c r="CJ49" s="28"/>
      <c r="CK49" s="25"/>
      <c r="CL49" s="30"/>
    </row>
    <row r="50" spans="1:90" ht="12.75">
      <c r="A50" s="176">
        <f t="shared" si="3"/>
        <v>46</v>
      </c>
      <c r="B50" s="177"/>
      <c r="C50" s="178" t="s">
        <v>251</v>
      </c>
      <c r="D50" s="179"/>
      <c r="E50" s="179"/>
      <c r="F50" s="179"/>
      <c r="G50" s="179"/>
      <c r="H50" s="179"/>
      <c r="I50" s="179"/>
      <c r="J50" s="179"/>
      <c r="K50" s="179"/>
      <c r="L50" s="180"/>
      <c r="M50" s="79">
        <v>1</v>
      </c>
      <c r="N50" s="79">
        <v>1</v>
      </c>
      <c r="O50" s="79">
        <v>1</v>
      </c>
      <c r="P50" s="79">
        <v>1</v>
      </c>
      <c r="Q50" s="79">
        <v>1</v>
      </c>
      <c r="R50" s="79">
        <v>1</v>
      </c>
      <c r="S50" s="79">
        <v>1</v>
      </c>
      <c r="T50" s="79">
        <v>1</v>
      </c>
      <c r="U50" s="79">
        <v>1</v>
      </c>
      <c r="V50" s="79">
        <v>1</v>
      </c>
      <c r="W50" s="79">
        <v>1</v>
      </c>
      <c r="X50" s="79">
        <v>1</v>
      </c>
      <c r="Y50" s="79">
        <v>1</v>
      </c>
      <c r="Z50" s="79">
        <v>1</v>
      </c>
      <c r="AA50" s="80">
        <v>1</v>
      </c>
      <c r="AB50" s="81">
        <v>1</v>
      </c>
      <c r="AC50" s="81">
        <v>1</v>
      </c>
      <c r="AD50" s="81">
        <v>1</v>
      </c>
      <c r="AE50" s="82">
        <v>1</v>
      </c>
      <c r="AF50" s="81">
        <v>1</v>
      </c>
      <c r="AG50" s="81">
        <v>1</v>
      </c>
      <c r="AH50" s="81">
        <v>1</v>
      </c>
      <c r="AI50" s="81">
        <v>1</v>
      </c>
      <c r="AJ50" s="83">
        <v>1</v>
      </c>
      <c r="AK50" s="81">
        <v>1</v>
      </c>
      <c r="AL50" s="81"/>
      <c r="AM50" s="81"/>
      <c r="AN50" s="81"/>
      <c r="AO50" s="83"/>
      <c r="AP50" s="81"/>
      <c r="AQ50" s="81"/>
      <c r="AR50" s="81"/>
      <c r="AS50" s="83"/>
      <c r="AT50" s="81"/>
      <c r="AU50" s="81"/>
      <c r="AV50" s="81"/>
      <c r="AW50" s="81"/>
      <c r="AX50" s="82"/>
      <c r="AY50" s="81"/>
      <c r="AZ50" s="81"/>
      <c r="BA50" s="81"/>
      <c r="BB50" s="82"/>
      <c r="BC50" s="81"/>
      <c r="BD50" s="81"/>
      <c r="BE50" s="81"/>
      <c r="BF50" s="81"/>
      <c r="BG50" s="83"/>
      <c r="BH50" s="81"/>
      <c r="BI50" s="81"/>
      <c r="BJ50" s="81"/>
      <c r="BK50" s="81"/>
      <c r="BL50" s="83"/>
      <c r="BM50" s="81"/>
      <c r="BN50" s="81"/>
      <c r="BO50" s="81"/>
      <c r="BP50" s="83"/>
      <c r="BQ50" s="81"/>
      <c r="BR50" s="81"/>
      <c r="BS50" s="81"/>
      <c r="BT50" s="81"/>
      <c r="BU50" s="82"/>
      <c r="BV50" s="81"/>
      <c r="BW50" s="81"/>
      <c r="BX50" s="81"/>
      <c r="BY50" s="82"/>
      <c r="BZ50" s="81"/>
      <c r="CA50" s="81"/>
      <c r="CB50" s="81"/>
      <c r="CC50" s="81"/>
      <c r="CD50" s="83"/>
      <c r="CE50" s="81"/>
      <c r="CF50" s="81"/>
      <c r="CG50" s="24"/>
      <c r="CH50" s="25"/>
      <c r="CI50" s="26"/>
      <c r="CJ50" s="28"/>
      <c r="CK50" s="25"/>
      <c r="CL50" s="30"/>
    </row>
    <row r="51" spans="1:90" ht="26.45" customHeight="1">
      <c r="A51" s="176">
        <f t="shared" si="3"/>
        <v>47</v>
      </c>
      <c r="B51" s="177"/>
      <c r="C51" s="178" t="s">
        <v>49</v>
      </c>
      <c r="D51" s="179"/>
      <c r="E51" s="179"/>
      <c r="F51" s="179"/>
      <c r="G51" s="179"/>
      <c r="H51" s="179"/>
      <c r="I51" s="179"/>
      <c r="J51" s="179"/>
      <c r="K51" s="179"/>
      <c r="L51" s="180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80"/>
      <c r="AB51" s="81"/>
      <c r="AC51" s="81"/>
      <c r="AD51" s="81"/>
      <c r="AE51" s="82"/>
      <c r="AF51" s="81"/>
      <c r="AG51" s="81"/>
      <c r="AH51" s="81"/>
      <c r="AI51" s="81"/>
      <c r="AJ51" s="83"/>
      <c r="AK51" s="81"/>
      <c r="AL51" s="81"/>
      <c r="AM51" s="81"/>
      <c r="AN51" s="81"/>
      <c r="AO51" s="83"/>
      <c r="AP51" s="81"/>
      <c r="AQ51" s="81"/>
      <c r="AR51" s="81"/>
      <c r="AS51" s="83"/>
      <c r="AT51" s="81"/>
      <c r="AU51" s="81"/>
      <c r="AV51" s="81"/>
      <c r="AW51" s="81"/>
      <c r="AX51" s="82"/>
      <c r="AY51" s="81"/>
      <c r="AZ51" s="81"/>
      <c r="BA51" s="81"/>
      <c r="BB51" s="82"/>
      <c r="BC51" s="81"/>
      <c r="BD51" s="81"/>
      <c r="BE51" s="81"/>
      <c r="BF51" s="81"/>
      <c r="BG51" s="83"/>
      <c r="BH51" s="81"/>
      <c r="BI51" s="81"/>
      <c r="BJ51" s="81"/>
      <c r="BK51" s="81"/>
      <c r="BL51" s="83"/>
      <c r="BM51" s="81"/>
      <c r="BN51" s="81"/>
      <c r="BO51" s="81"/>
      <c r="BP51" s="83"/>
      <c r="BQ51" s="81"/>
      <c r="BR51" s="81"/>
      <c r="BS51" s="81"/>
      <c r="BT51" s="81"/>
      <c r="BU51" s="82"/>
      <c r="BV51" s="81"/>
      <c r="BW51" s="81"/>
      <c r="BX51" s="81"/>
      <c r="BY51" s="82"/>
      <c r="BZ51" s="81"/>
      <c r="CA51" s="81"/>
      <c r="CB51" s="81"/>
      <c r="CC51" s="81"/>
      <c r="CD51" s="83"/>
      <c r="CE51" s="81"/>
      <c r="CF51" s="81"/>
      <c r="CG51" s="24"/>
      <c r="CH51" s="25"/>
      <c r="CI51" s="26"/>
      <c r="CJ51" s="28"/>
      <c r="CK51" s="25"/>
      <c r="CL51" s="30"/>
    </row>
    <row r="52" spans="1:90" ht="26.45" customHeight="1">
      <c r="A52" s="176">
        <f t="shared" si="3"/>
        <v>48</v>
      </c>
      <c r="B52" s="177"/>
      <c r="C52" s="200" t="s">
        <v>50</v>
      </c>
      <c r="D52" s="201"/>
      <c r="E52" s="201"/>
      <c r="F52" s="201"/>
      <c r="G52" s="201"/>
      <c r="H52" s="201"/>
      <c r="I52" s="201"/>
      <c r="J52" s="201"/>
      <c r="K52" s="201"/>
      <c r="L52" s="202"/>
      <c r="M52" s="79">
        <v>1</v>
      </c>
      <c r="N52" s="79">
        <v>1</v>
      </c>
      <c r="O52" s="79">
        <v>1</v>
      </c>
      <c r="P52" s="79">
        <v>1</v>
      </c>
      <c r="Q52" s="79">
        <v>1</v>
      </c>
      <c r="R52" s="79">
        <v>1</v>
      </c>
      <c r="S52" s="79">
        <v>1</v>
      </c>
      <c r="T52" s="79">
        <v>1</v>
      </c>
      <c r="U52" s="79">
        <v>1</v>
      </c>
      <c r="V52" s="79">
        <v>1</v>
      </c>
      <c r="W52" s="79">
        <v>1</v>
      </c>
      <c r="X52" s="79">
        <v>1</v>
      </c>
      <c r="Y52" s="79">
        <v>1</v>
      </c>
      <c r="Z52" s="79">
        <v>1</v>
      </c>
      <c r="AA52" s="80">
        <v>1</v>
      </c>
      <c r="AB52" s="81">
        <v>1</v>
      </c>
      <c r="AC52" s="81">
        <v>1</v>
      </c>
      <c r="AD52" s="81">
        <v>1</v>
      </c>
      <c r="AE52" s="82">
        <v>1</v>
      </c>
      <c r="AF52" s="81">
        <v>1</v>
      </c>
      <c r="AG52" s="81">
        <v>1</v>
      </c>
      <c r="AH52" s="81">
        <v>1</v>
      </c>
      <c r="AI52" s="81">
        <v>1</v>
      </c>
      <c r="AJ52" s="83">
        <v>1</v>
      </c>
      <c r="AK52" s="81">
        <v>1</v>
      </c>
      <c r="AL52" s="81"/>
      <c r="AM52" s="81"/>
      <c r="AN52" s="81"/>
      <c r="AO52" s="83"/>
      <c r="AP52" s="81"/>
      <c r="AQ52" s="81"/>
      <c r="AR52" s="81"/>
      <c r="AS52" s="83"/>
      <c r="AT52" s="81"/>
      <c r="AU52" s="81"/>
      <c r="AV52" s="81"/>
      <c r="AW52" s="81"/>
      <c r="AX52" s="82"/>
      <c r="AY52" s="81"/>
      <c r="AZ52" s="81"/>
      <c r="BA52" s="81"/>
      <c r="BB52" s="82"/>
      <c r="BC52" s="81"/>
      <c r="BD52" s="81"/>
      <c r="BE52" s="81"/>
      <c r="BF52" s="81"/>
      <c r="BG52" s="83"/>
      <c r="BH52" s="81"/>
      <c r="BI52" s="81"/>
      <c r="BJ52" s="81"/>
      <c r="BK52" s="81"/>
      <c r="BL52" s="83"/>
      <c r="BM52" s="81"/>
      <c r="BN52" s="81"/>
      <c r="BO52" s="81"/>
      <c r="BP52" s="83"/>
      <c r="BQ52" s="81"/>
      <c r="BR52" s="81"/>
      <c r="BS52" s="81"/>
      <c r="BT52" s="81"/>
      <c r="BU52" s="82"/>
      <c r="BV52" s="81"/>
      <c r="BW52" s="81"/>
      <c r="BX52" s="81"/>
      <c r="BY52" s="82"/>
      <c r="BZ52" s="81"/>
      <c r="CA52" s="81"/>
      <c r="CB52" s="81"/>
      <c r="CC52" s="81"/>
      <c r="CD52" s="83"/>
      <c r="CE52" s="81"/>
      <c r="CF52" s="81"/>
      <c r="CG52" s="24"/>
      <c r="CH52" s="25"/>
      <c r="CI52" s="26"/>
      <c r="CJ52" s="28"/>
      <c r="CK52" s="25"/>
      <c r="CL52" s="30"/>
    </row>
    <row r="53" spans="1:90" ht="12.75">
      <c r="A53" s="176">
        <f t="shared" si="3"/>
        <v>49</v>
      </c>
      <c r="B53" s="177"/>
      <c r="C53" s="178" t="s">
        <v>51</v>
      </c>
      <c r="D53" s="179"/>
      <c r="E53" s="179"/>
      <c r="F53" s="179"/>
      <c r="G53" s="179"/>
      <c r="H53" s="179"/>
      <c r="I53" s="179"/>
      <c r="J53" s="179"/>
      <c r="K53" s="179"/>
      <c r="L53" s="180"/>
      <c r="M53" s="78"/>
      <c r="N53" s="80"/>
      <c r="O53" s="80"/>
      <c r="P53" s="80"/>
      <c r="Q53" s="80"/>
      <c r="R53" s="78"/>
      <c r="S53" s="80"/>
      <c r="T53" s="80"/>
      <c r="U53" s="80">
        <v>1</v>
      </c>
      <c r="V53" s="78"/>
      <c r="W53" s="80"/>
      <c r="X53" s="80">
        <v>1</v>
      </c>
      <c r="Y53" s="80"/>
      <c r="Z53" s="80"/>
      <c r="AA53" s="80"/>
      <c r="AB53" s="81"/>
      <c r="AC53" s="81"/>
      <c r="AD53" s="81"/>
      <c r="AE53" s="82"/>
      <c r="AF53" s="81"/>
      <c r="AG53" s="81"/>
      <c r="AH53" s="81"/>
      <c r="AI53" s="81"/>
      <c r="AJ53" s="83"/>
      <c r="AK53" s="81"/>
      <c r="AL53" s="81"/>
      <c r="AM53" s="81"/>
      <c r="AN53" s="81"/>
      <c r="AO53" s="83"/>
      <c r="AP53" s="81"/>
      <c r="AQ53" s="81"/>
      <c r="AR53" s="81"/>
      <c r="AS53" s="83"/>
      <c r="AT53" s="81"/>
      <c r="AU53" s="81"/>
      <c r="AV53" s="81"/>
      <c r="AW53" s="81"/>
      <c r="AX53" s="82"/>
      <c r="AY53" s="81"/>
      <c r="AZ53" s="81"/>
      <c r="BA53" s="81"/>
      <c r="BB53" s="82"/>
      <c r="BC53" s="81"/>
      <c r="BD53" s="81"/>
      <c r="BE53" s="81"/>
      <c r="BF53" s="81"/>
      <c r="BG53" s="83"/>
      <c r="BH53" s="81"/>
      <c r="BI53" s="81"/>
      <c r="BJ53" s="81"/>
      <c r="BK53" s="81"/>
      <c r="BL53" s="83"/>
      <c r="BM53" s="81"/>
      <c r="BN53" s="81"/>
      <c r="BO53" s="81"/>
      <c r="BP53" s="83"/>
      <c r="BQ53" s="81"/>
      <c r="BR53" s="81"/>
      <c r="BS53" s="81"/>
      <c r="BT53" s="81"/>
      <c r="BU53" s="82"/>
      <c r="BV53" s="81"/>
      <c r="BW53" s="81"/>
      <c r="BX53" s="81"/>
      <c r="BY53" s="82"/>
      <c r="BZ53" s="81"/>
      <c r="CA53" s="81"/>
      <c r="CB53" s="81"/>
      <c r="CC53" s="81"/>
      <c r="CD53" s="83"/>
      <c r="CE53" s="81"/>
      <c r="CF53" s="81"/>
      <c r="CG53" s="24"/>
      <c r="CH53" s="25"/>
      <c r="CI53" s="26"/>
      <c r="CJ53" s="28"/>
      <c r="CK53" s="25"/>
      <c r="CL53" s="30"/>
    </row>
    <row r="54" spans="1:90" ht="12.75">
      <c r="A54" s="176">
        <f t="shared" si="3"/>
        <v>50</v>
      </c>
      <c r="B54" s="177"/>
      <c r="C54" s="178" t="s">
        <v>52</v>
      </c>
      <c r="D54" s="179"/>
      <c r="E54" s="179"/>
      <c r="F54" s="179"/>
      <c r="G54" s="179"/>
      <c r="H54" s="179"/>
      <c r="I54" s="179"/>
      <c r="J54" s="179"/>
      <c r="K54" s="179"/>
      <c r="L54" s="180"/>
      <c r="M54" s="78">
        <v>1</v>
      </c>
      <c r="N54" s="80">
        <v>1</v>
      </c>
      <c r="O54" s="80">
        <v>1</v>
      </c>
      <c r="P54" s="80">
        <v>1</v>
      </c>
      <c r="Q54" s="80"/>
      <c r="R54" s="78"/>
      <c r="S54" s="80"/>
      <c r="T54" s="80"/>
      <c r="U54" s="80"/>
      <c r="V54" s="78"/>
      <c r="W54" s="80"/>
      <c r="X54" s="80"/>
      <c r="Y54" s="80"/>
      <c r="Z54" s="80"/>
      <c r="AA54" s="80"/>
      <c r="AB54" s="81"/>
      <c r="AC54" s="81"/>
      <c r="AD54" s="81"/>
      <c r="AE54" s="82"/>
      <c r="AF54" s="81"/>
      <c r="AG54" s="81"/>
      <c r="AH54" s="81"/>
      <c r="AI54" s="81"/>
      <c r="AJ54" s="83"/>
      <c r="AK54" s="81"/>
      <c r="AL54" s="81"/>
      <c r="AM54" s="81"/>
      <c r="AN54" s="81"/>
      <c r="AO54" s="83"/>
      <c r="AP54" s="81"/>
      <c r="AQ54" s="81"/>
      <c r="AR54" s="81"/>
      <c r="AS54" s="83"/>
      <c r="AT54" s="81"/>
      <c r="AU54" s="81"/>
      <c r="AV54" s="81"/>
      <c r="AW54" s="81"/>
      <c r="AX54" s="82"/>
      <c r="AY54" s="81"/>
      <c r="AZ54" s="81"/>
      <c r="BA54" s="81"/>
      <c r="BB54" s="82"/>
      <c r="BC54" s="81"/>
      <c r="BD54" s="81"/>
      <c r="BE54" s="81"/>
      <c r="BF54" s="81"/>
      <c r="BG54" s="83"/>
      <c r="BH54" s="81"/>
      <c r="BI54" s="81"/>
      <c r="BJ54" s="81"/>
      <c r="BK54" s="81"/>
      <c r="BL54" s="83"/>
      <c r="BM54" s="81"/>
      <c r="BN54" s="81"/>
      <c r="BO54" s="81"/>
      <c r="BP54" s="83"/>
      <c r="BQ54" s="81"/>
      <c r="BR54" s="81"/>
      <c r="BS54" s="81"/>
      <c r="BT54" s="81"/>
      <c r="BU54" s="82"/>
      <c r="BV54" s="81"/>
      <c r="BW54" s="81"/>
      <c r="BX54" s="81"/>
      <c r="BY54" s="82"/>
      <c r="BZ54" s="81"/>
      <c r="CA54" s="81"/>
      <c r="CB54" s="81"/>
      <c r="CC54" s="81"/>
      <c r="CD54" s="83"/>
      <c r="CE54" s="81"/>
      <c r="CF54" s="81"/>
      <c r="CG54" s="24"/>
      <c r="CH54" s="25"/>
      <c r="CI54" s="26"/>
      <c r="CJ54" s="28"/>
      <c r="CK54" s="25"/>
      <c r="CL54" s="30"/>
    </row>
    <row r="55" spans="1:90" ht="12.75">
      <c r="A55" s="176">
        <f t="shared" si="3"/>
        <v>51</v>
      </c>
      <c r="B55" s="177"/>
      <c r="C55" s="178" t="s">
        <v>53</v>
      </c>
      <c r="D55" s="179"/>
      <c r="E55" s="179"/>
      <c r="F55" s="179"/>
      <c r="G55" s="179"/>
      <c r="H55" s="179"/>
      <c r="I55" s="179"/>
      <c r="J55" s="179"/>
      <c r="K55" s="179"/>
      <c r="L55" s="180"/>
      <c r="M55" s="78"/>
      <c r="N55" s="80"/>
      <c r="O55" s="80"/>
      <c r="P55" s="80"/>
      <c r="Q55" s="80"/>
      <c r="R55" s="78"/>
      <c r="S55" s="80"/>
      <c r="T55" s="80"/>
      <c r="U55" s="80"/>
      <c r="V55" s="78"/>
      <c r="W55" s="80"/>
      <c r="X55" s="80"/>
      <c r="Y55" s="80"/>
      <c r="Z55" s="80"/>
      <c r="AA55" s="80"/>
      <c r="AB55" s="81"/>
      <c r="AC55" s="81"/>
      <c r="AD55" s="81"/>
      <c r="AE55" s="82"/>
      <c r="AF55" s="81"/>
      <c r="AG55" s="81"/>
      <c r="AH55" s="81"/>
      <c r="AI55" s="81"/>
      <c r="AJ55" s="83"/>
      <c r="AK55" s="81"/>
      <c r="AL55" s="81"/>
      <c r="AM55" s="81"/>
      <c r="AN55" s="81"/>
      <c r="AO55" s="83"/>
      <c r="AP55" s="81"/>
      <c r="AQ55" s="81"/>
      <c r="AR55" s="81"/>
      <c r="AS55" s="83"/>
      <c r="AT55" s="81"/>
      <c r="AU55" s="81"/>
      <c r="AV55" s="81"/>
      <c r="AW55" s="81"/>
      <c r="AX55" s="82"/>
      <c r="AY55" s="81"/>
      <c r="AZ55" s="81"/>
      <c r="BA55" s="81"/>
      <c r="BB55" s="82"/>
      <c r="BC55" s="81"/>
      <c r="BD55" s="81"/>
      <c r="BE55" s="81"/>
      <c r="BF55" s="81"/>
      <c r="BG55" s="83"/>
      <c r="BH55" s="81"/>
      <c r="BI55" s="81"/>
      <c r="BJ55" s="81"/>
      <c r="BK55" s="81"/>
      <c r="BL55" s="83"/>
      <c r="BM55" s="81"/>
      <c r="BN55" s="81"/>
      <c r="BO55" s="81"/>
      <c r="BP55" s="83"/>
      <c r="BQ55" s="81"/>
      <c r="BR55" s="81"/>
      <c r="BS55" s="81"/>
      <c r="BT55" s="81"/>
      <c r="BU55" s="82"/>
      <c r="BV55" s="81"/>
      <c r="BW55" s="81"/>
      <c r="BX55" s="81"/>
      <c r="BY55" s="82"/>
      <c r="BZ55" s="81"/>
      <c r="CA55" s="81"/>
      <c r="CB55" s="81"/>
      <c r="CC55" s="81"/>
      <c r="CD55" s="83"/>
      <c r="CE55" s="81"/>
      <c r="CF55" s="81"/>
      <c r="CG55" s="24"/>
      <c r="CH55" s="25"/>
      <c r="CI55" s="26"/>
      <c r="CJ55" s="28"/>
      <c r="CK55" s="25"/>
      <c r="CL55" s="30"/>
    </row>
    <row r="56" spans="1:90" ht="12.75">
      <c r="A56" s="176">
        <f t="shared" si="3"/>
        <v>52</v>
      </c>
      <c r="B56" s="177"/>
      <c r="C56" s="200" t="s">
        <v>54</v>
      </c>
      <c r="D56" s="201"/>
      <c r="E56" s="201"/>
      <c r="F56" s="201"/>
      <c r="G56" s="201"/>
      <c r="H56" s="201"/>
      <c r="I56" s="201"/>
      <c r="J56" s="201"/>
      <c r="K56" s="201"/>
      <c r="L56" s="202"/>
      <c r="M56" s="78"/>
      <c r="N56" s="80"/>
      <c r="O56" s="80"/>
      <c r="P56" s="80"/>
      <c r="Q56" s="80"/>
      <c r="R56" s="78"/>
      <c r="S56" s="80"/>
      <c r="T56" s="80"/>
      <c r="U56" s="80"/>
      <c r="V56" s="78"/>
      <c r="W56" s="80"/>
      <c r="X56" s="80"/>
      <c r="Y56" s="80"/>
      <c r="Z56" s="80"/>
      <c r="AA56" s="80"/>
      <c r="AB56" s="81"/>
      <c r="AC56" s="81"/>
      <c r="AD56" s="81"/>
      <c r="AE56" s="82"/>
      <c r="AF56" s="81"/>
      <c r="AG56" s="81"/>
      <c r="AH56" s="81"/>
      <c r="AI56" s="81"/>
      <c r="AJ56" s="77"/>
      <c r="AK56" s="75"/>
      <c r="AL56" s="75"/>
      <c r="AM56" s="75"/>
      <c r="AN56" s="75"/>
      <c r="AO56" s="77"/>
      <c r="AP56" s="75"/>
      <c r="AQ56" s="75"/>
      <c r="AR56" s="75"/>
      <c r="AS56" s="77"/>
      <c r="AT56" s="75"/>
      <c r="AU56" s="75"/>
      <c r="AV56" s="75"/>
      <c r="AW56" s="75"/>
      <c r="AX56" s="82"/>
      <c r="AY56" s="81"/>
      <c r="AZ56" s="81"/>
      <c r="BA56" s="81"/>
      <c r="BB56" s="82"/>
      <c r="BC56" s="81"/>
      <c r="BD56" s="81"/>
      <c r="BE56" s="81"/>
      <c r="BF56" s="81"/>
      <c r="BG56" s="77"/>
      <c r="BH56" s="75"/>
      <c r="BI56" s="75"/>
      <c r="BJ56" s="75"/>
      <c r="BK56" s="75"/>
      <c r="BL56" s="77"/>
      <c r="BM56" s="75"/>
      <c r="BN56" s="75"/>
      <c r="BO56" s="75"/>
      <c r="BP56" s="77"/>
      <c r="BQ56" s="75"/>
      <c r="BR56" s="75"/>
      <c r="BS56" s="75"/>
      <c r="BT56" s="75"/>
      <c r="BU56" s="82"/>
      <c r="BV56" s="81"/>
      <c r="BW56" s="81"/>
      <c r="BX56" s="81"/>
      <c r="BY56" s="82"/>
      <c r="BZ56" s="81"/>
      <c r="CA56" s="81"/>
      <c r="CB56" s="81"/>
      <c r="CC56" s="81"/>
      <c r="CD56" s="77"/>
      <c r="CE56" s="75"/>
      <c r="CF56" s="75"/>
      <c r="CG56" s="24"/>
      <c r="CH56" s="25"/>
      <c r="CI56" s="26"/>
      <c r="CJ56" s="28"/>
      <c r="CK56" s="25"/>
      <c r="CL56" s="30"/>
    </row>
    <row r="57" spans="1:90" ht="26.45" customHeight="1">
      <c r="A57" s="176">
        <f t="shared" si="3"/>
        <v>53</v>
      </c>
      <c r="B57" s="177"/>
      <c r="C57" s="178" t="s">
        <v>55</v>
      </c>
      <c r="D57" s="179"/>
      <c r="E57" s="179"/>
      <c r="F57" s="179"/>
      <c r="G57" s="179"/>
      <c r="H57" s="179"/>
      <c r="I57" s="179"/>
      <c r="J57" s="179"/>
      <c r="K57" s="179"/>
      <c r="L57" s="180"/>
      <c r="M57" s="78"/>
      <c r="N57" s="80"/>
      <c r="O57" s="80"/>
      <c r="P57" s="80"/>
      <c r="Q57" s="80"/>
      <c r="R57" s="79"/>
      <c r="S57" s="80"/>
      <c r="T57" s="80"/>
      <c r="U57" s="80"/>
      <c r="V57" s="78"/>
      <c r="W57" s="80"/>
      <c r="X57" s="80"/>
      <c r="Y57" s="80"/>
      <c r="Z57" s="80"/>
      <c r="AA57" s="80"/>
      <c r="AB57" s="75"/>
      <c r="AC57" s="75"/>
      <c r="AD57" s="75"/>
      <c r="AE57" s="76"/>
      <c r="AF57" s="75"/>
      <c r="AG57" s="75"/>
      <c r="AH57" s="75"/>
      <c r="AI57" s="75"/>
      <c r="AJ57" s="77"/>
      <c r="AK57" s="75"/>
      <c r="AL57" s="75"/>
      <c r="AM57" s="75"/>
      <c r="AN57" s="75"/>
      <c r="AO57" s="77"/>
      <c r="AP57" s="75"/>
      <c r="AQ57" s="75"/>
      <c r="AR57" s="75"/>
      <c r="AS57" s="77"/>
      <c r="AT57" s="75"/>
      <c r="AU57" s="75"/>
      <c r="AV57" s="75"/>
      <c r="AW57" s="75"/>
      <c r="AX57" s="76"/>
      <c r="AY57" s="75"/>
      <c r="AZ57" s="75"/>
      <c r="BA57" s="75"/>
      <c r="BB57" s="76"/>
      <c r="BC57" s="75"/>
      <c r="BD57" s="75"/>
      <c r="BE57" s="75"/>
      <c r="BF57" s="75"/>
      <c r="BG57" s="77"/>
      <c r="BH57" s="75"/>
      <c r="BI57" s="75"/>
      <c r="BJ57" s="75"/>
      <c r="BK57" s="75"/>
      <c r="BL57" s="77"/>
      <c r="BM57" s="75"/>
      <c r="BN57" s="75"/>
      <c r="BO57" s="75"/>
      <c r="BP57" s="77"/>
      <c r="BQ57" s="75"/>
      <c r="BR57" s="75"/>
      <c r="BS57" s="75"/>
      <c r="BT57" s="75"/>
      <c r="BU57" s="76"/>
      <c r="BV57" s="75"/>
      <c r="BW57" s="75"/>
      <c r="BX57" s="75"/>
      <c r="BY57" s="76"/>
      <c r="BZ57" s="75"/>
      <c r="CA57" s="75"/>
      <c r="CB57" s="75"/>
      <c r="CC57" s="75"/>
      <c r="CD57" s="77"/>
      <c r="CE57" s="75"/>
      <c r="CF57" s="75"/>
      <c r="CG57" s="24"/>
      <c r="CH57" s="25"/>
      <c r="CI57" s="26"/>
      <c r="CJ57" s="28"/>
      <c r="CK57" s="25"/>
      <c r="CL57" s="30"/>
    </row>
    <row r="58" spans="1:90" ht="12.75">
      <c r="A58" s="176">
        <f t="shared" si="3"/>
        <v>54</v>
      </c>
      <c r="B58" s="177"/>
      <c r="C58" s="178" t="s">
        <v>56</v>
      </c>
      <c r="D58" s="179"/>
      <c r="E58" s="179"/>
      <c r="F58" s="179"/>
      <c r="G58" s="179"/>
      <c r="H58" s="179"/>
      <c r="I58" s="179"/>
      <c r="J58" s="179"/>
      <c r="K58" s="179"/>
      <c r="L58" s="180"/>
      <c r="M58" s="78"/>
      <c r="N58" s="80"/>
      <c r="O58" s="80"/>
      <c r="P58" s="80"/>
      <c r="Q58" s="80"/>
      <c r="R58" s="78"/>
      <c r="S58" s="80"/>
      <c r="T58" s="80"/>
      <c r="U58" s="80"/>
      <c r="V58" s="78"/>
      <c r="W58" s="80"/>
      <c r="X58" s="80"/>
      <c r="Y58" s="80"/>
      <c r="Z58" s="80"/>
      <c r="AA58" s="80"/>
      <c r="AB58" s="81"/>
      <c r="AC58" s="81"/>
      <c r="AD58" s="81"/>
      <c r="AE58" s="82"/>
      <c r="AF58" s="81"/>
      <c r="AG58" s="81"/>
      <c r="AH58" s="81"/>
      <c r="AI58" s="81"/>
      <c r="AJ58" s="83"/>
      <c r="AK58" s="81"/>
      <c r="AL58" s="81"/>
      <c r="AM58" s="81"/>
      <c r="AN58" s="81"/>
      <c r="AO58" s="83"/>
      <c r="AP58" s="81"/>
      <c r="AQ58" s="81"/>
      <c r="AR58" s="81"/>
      <c r="AS58" s="83"/>
      <c r="AT58" s="81"/>
      <c r="AU58" s="81"/>
      <c r="AV58" s="81"/>
      <c r="AW58" s="81"/>
      <c r="AX58" s="82"/>
      <c r="AY58" s="81"/>
      <c r="AZ58" s="81"/>
      <c r="BA58" s="81"/>
      <c r="BB58" s="82"/>
      <c r="BC58" s="81"/>
      <c r="BD58" s="81"/>
      <c r="BE58" s="81"/>
      <c r="BF58" s="81"/>
      <c r="BG58" s="83"/>
      <c r="BH58" s="81"/>
      <c r="BI58" s="81"/>
      <c r="BJ58" s="81"/>
      <c r="BK58" s="81"/>
      <c r="BL58" s="83"/>
      <c r="BM58" s="81"/>
      <c r="BN58" s="81"/>
      <c r="BO58" s="81"/>
      <c r="BP58" s="83"/>
      <c r="BQ58" s="81"/>
      <c r="BR58" s="81"/>
      <c r="BS58" s="81"/>
      <c r="BT58" s="81"/>
      <c r="BU58" s="82"/>
      <c r="BV58" s="81"/>
      <c r="BW58" s="81"/>
      <c r="BX58" s="81"/>
      <c r="BY58" s="82"/>
      <c r="BZ58" s="81"/>
      <c r="CA58" s="81"/>
      <c r="CB58" s="81"/>
      <c r="CC58" s="81"/>
      <c r="CD58" s="83"/>
      <c r="CE58" s="81"/>
      <c r="CF58" s="81"/>
      <c r="CG58" s="24"/>
      <c r="CH58" s="25"/>
      <c r="CI58" s="26"/>
      <c r="CJ58" s="28"/>
      <c r="CK58" s="25"/>
      <c r="CL58" s="30"/>
    </row>
    <row r="59" spans="1:90" ht="12.75">
      <c r="A59" s="176">
        <f t="shared" si="3"/>
        <v>55</v>
      </c>
      <c r="B59" s="177"/>
      <c r="C59" s="178" t="s">
        <v>57</v>
      </c>
      <c r="D59" s="179"/>
      <c r="E59" s="179"/>
      <c r="F59" s="179"/>
      <c r="G59" s="179"/>
      <c r="H59" s="179"/>
      <c r="I59" s="179"/>
      <c r="J59" s="179"/>
      <c r="K59" s="179"/>
      <c r="L59" s="180"/>
      <c r="M59" s="78"/>
      <c r="N59" s="80"/>
      <c r="O59" s="80"/>
      <c r="P59" s="80"/>
      <c r="Q59" s="80"/>
      <c r="R59" s="78"/>
      <c r="S59" s="79"/>
      <c r="T59" s="80"/>
      <c r="U59" s="80"/>
      <c r="V59" s="78"/>
      <c r="W59" s="80"/>
      <c r="X59" s="80"/>
      <c r="Y59" s="80"/>
      <c r="Z59" s="80"/>
      <c r="AA59" s="80"/>
      <c r="AB59" s="81"/>
      <c r="AC59" s="81"/>
      <c r="AD59" s="81"/>
      <c r="AE59" s="82"/>
      <c r="AF59" s="81"/>
      <c r="AG59" s="81"/>
      <c r="AH59" s="81"/>
      <c r="AI59" s="81"/>
      <c r="AJ59" s="83"/>
      <c r="AK59" s="81"/>
      <c r="AL59" s="81"/>
      <c r="AM59" s="81"/>
      <c r="AN59" s="81"/>
      <c r="AO59" s="83"/>
      <c r="AP59" s="81"/>
      <c r="AQ59" s="81"/>
      <c r="AR59" s="81"/>
      <c r="AS59" s="83"/>
      <c r="AT59" s="81"/>
      <c r="AU59" s="81"/>
      <c r="AV59" s="81"/>
      <c r="AW59" s="81"/>
      <c r="AX59" s="82"/>
      <c r="AY59" s="81"/>
      <c r="AZ59" s="81"/>
      <c r="BA59" s="81"/>
      <c r="BB59" s="82"/>
      <c r="BC59" s="81"/>
      <c r="BD59" s="81"/>
      <c r="BE59" s="81"/>
      <c r="BF59" s="81"/>
      <c r="BG59" s="83"/>
      <c r="BH59" s="81"/>
      <c r="BI59" s="81"/>
      <c r="BJ59" s="81"/>
      <c r="BK59" s="81"/>
      <c r="BL59" s="83"/>
      <c r="BM59" s="81"/>
      <c r="BN59" s="81"/>
      <c r="BO59" s="81"/>
      <c r="BP59" s="83"/>
      <c r="BQ59" s="81"/>
      <c r="BR59" s="81"/>
      <c r="BS59" s="81"/>
      <c r="BT59" s="81"/>
      <c r="BU59" s="82"/>
      <c r="BV59" s="81"/>
      <c r="BW59" s="81"/>
      <c r="BX59" s="81"/>
      <c r="BY59" s="82"/>
      <c r="BZ59" s="81"/>
      <c r="CA59" s="81"/>
      <c r="CB59" s="81"/>
      <c r="CC59" s="81"/>
      <c r="CD59" s="83"/>
      <c r="CE59" s="81"/>
      <c r="CF59" s="81"/>
      <c r="CG59" s="24"/>
      <c r="CH59" s="25"/>
      <c r="CI59" s="26"/>
      <c r="CJ59" s="28"/>
      <c r="CK59" s="25"/>
      <c r="CL59" s="30"/>
    </row>
    <row r="60" spans="1:90" ht="12.75">
      <c r="A60" s="176">
        <f t="shared" si="3"/>
        <v>56</v>
      </c>
      <c r="B60" s="177"/>
      <c r="C60" s="178" t="s">
        <v>58</v>
      </c>
      <c r="D60" s="179"/>
      <c r="E60" s="179"/>
      <c r="F60" s="179"/>
      <c r="G60" s="179"/>
      <c r="H60" s="179"/>
      <c r="I60" s="179"/>
      <c r="J60" s="179"/>
      <c r="K60" s="179"/>
      <c r="L60" s="180"/>
      <c r="M60" s="78"/>
      <c r="N60" s="80"/>
      <c r="O60" s="80"/>
      <c r="P60" s="80"/>
      <c r="Q60" s="80"/>
      <c r="R60" s="78"/>
      <c r="S60" s="80"/>
      <c r="T60" s="80"/>
      <c r="U60" s="80"/>
      <c r="V60" s="78">
        <v>1</v>
      </c>
      <c r="W60" s="80"/>
      <c r="X60" s="80"/>
      <c r="Y60" s="80"/>
      <c r="Z60" s="80"/>
      <c r="AA60" s="80"/>
      <c r="AB60" s="81"/>
      <c r="AC60" s="81"/>
      <c r="AD60" s="81"/>
      <c r="AE60" s="82"/>
      <c r="AF60" s="81"/>
      <c r="AG60" s="81"/>
      <c r="AH60" s="81"/>
      <c r="AI60" s="81"/>
      <c r="AJ60" s="83"/>
      <c r="AK60" s="81"/>
      <c r="AL60" s="81"/>
      <c r="AM60" s="81"/>
      <c r="AN60" s="81"/>
      <c r="AO60" s="83"/>
      <c r="AP60" s="81"/>
      <c r="AQ60" s="81"/>
      <c r="AR60" s="81"/>
      <c r="AS60" s="83"/>
      <c r="AT60" s="81"/>
      <c r="AU60" s="81"/>
      <c r="AV60" s="81"/>
      <c r="AW60" s="81"/>
      <c r="AX60" s="82"/>
      <c r="AY60" s="81"/>
      <c r="AZ60" s="81"/>
      <c r="BA60" s="81"/>
      <c r="BB60" s="82"/>
      <c r="BC60" s="81"/>
      <c r="BD60" s="81"/>
      <c r="BE60" s="81"/>
      <c r="BF60" s="81"/>
      <c r="BG60" s="83"/>
      <c r="BH60" s="81"/>
      <c r="BI60" s="81"/>
      <c r="BJ60" s="81"/>
      <c r="BK60" s="81"/>
      <c r="BL60" s="83"/>
      <c r="BM60" s="81"/>
      <c r="BN60" s="81"/>
      <c r="BO60" s="81"/>
      <c r="BP60" s="83"/>
      <c r="BQ60" s="81"/>
      <c r="BR60" s="81"/>
      <c r="BS60" s="81"/>
      <c r="BT60" s="81"/>
      <c r="BU60" s="82"/>
      <c r="BV60" s="81"/>
      <c r="BW60" s="81"/>
      <c r="BX60" s="81"/>
      <c r="BY60" s="82"/>
      <c r="BZ60" s="81"/>
      <c r="CA60" s="81"/>
      <c r="CB60" s="81"/>
      <c r="CC60" s="81"/>
      <c r="CD60" s="83"/>
      <c r="CE60" s="81"/>
      <c r="CF60" s="81"/>
      <c r="CG60" s="24"/>
      <c r="CH60" s="25"/>
      <c r="CI60" s="26"/>
      <c r="CJ60" s="28"/>
      <c r="CK60" s="25"/>
      <c r="CL60" s="30"/>
    </row>
    <row r="61" spans="1:90" ht="26.45" customHeight="1">
      <c r="A61" s="176">
        <f t="shared" si="3"/>
        <v>57</v>
      </c>
      <c r="B61" s="177"/>
      <c r="C61" s="178" t="s">
        <v>331</v>
      </c>
      <c r="D61" s="179"/>
      <c r="E61" s="179"/>
      <c r="F61" s="179"/>
      <c r="G61" s="179"/>
      <c r="H61" s="179"/>
      <c r="I61" s="179"/>
      <c r="J61" s="179"/>
      <c r="K61" s="179"/>
      <c r="L61" s="180"/>
      <c r="M61" s="78"/>
      <c r="N61" s="80"/>
      <c r="O61" s="80"/>
      <c r="P61" s="80"/>
      <c r="Q61" s="80"/>
      <c r="R61" s="78"/>
      <c r="S61" s="80"/>
      <c r="T61" s="80"/>
      <c r="U61" s="80"/>
      <c r="V61" s="78"/>
      <c r="W61" s="80"/>
      <c r="X61" s="80"/>
      <c r="Y61" s="80"/>
      <c r="Z61" s="80"/>
      <c r="AA61" s="80"/>
      <c r="AB61" s="81"/>
      <c r="AC61" s="81"/>
      <c r="AD61" s="81"/>
      <c r="AE61" s="82"/>
      <c r="AF61" s="81"/>
      <c r="AG61" s="81"/>
      <c r="AH61" s="81"/>
      <c r="AI61" s="81"/>
      <c r="AJ61" s="83"/>
      <c r="AK61" s="81"/>
      <c r="AL61" s="81"/>
      <c r="AM61" s="81"/>
      <c r="AN61" s="81"/>
      <c r="AO61" s="83"/>
      <c r="AP61" s="81"/>
      <c r="AQ61" s="81"/>
      <c r="AR61" s="81"/>
      <c r="AS61" s="83"/>
      <c r="AT61" s="81"/>
      <c r="AU61" s="81"/>
      <c r="AV61" s="81"/>
      <c r="AW61" s="81"/>
      <c r="AX61" s="82"/>
      <c r="AY61" s="81"/>
      <c r="AZ61" s="81"/>
      <c r="BA61" s="81"/>
      <c r="BB61" s="82"/>
      <c r="BC61" s="81"/>
      <c r="BD61" s="81"/>
      <c r="BE61" s="81"/>
      <c r="BF61" s="81"/>
      <c r="BG61" s="83"/>
      <c r="BH61" s="81"/>
      <c r="BI61" s="81"/>
      <c r="BJ61" s="81"/>
      <c r="BK61" s="81"/>
      <c r="BL61" s="83"/>
      <c r="BM61" s="81"/>
      <c r="BN61" s="81"/>
      <c r="BO61" s="81"/>
      <c r="BP61" s="83"/>
      <c r="BQ61" s="81"/>
      <c r="BR61" s="81"/>
      <c r="BS61" s="81"/>
      <c r="BT61" s="81"/>
      <c r="BU61" s="82"/>
      <c r="BV61" s="81"/>
      <c r="BW61" s="81"/>
      <c r="BX61" s="81"/>
      <c r="BY61" s="82"/>
      <c r="BZ61" s="81"/>
      <c r="CA61" s="81"/>
      <c r="CB61" s="81"/>
      <c r="CC61" s="81"/>
      <c r="CD61" s="83"/>
      <c r="CE61" s="81"/>
      <c r="CF61" s="81"/>
      <c r="CG61" s="24"/>
      <c r="CH61" s="25"/>
      <c r="CI61" s="26"/>
      <c r="CJ61" s="28"/>
      <c r="CK61" s="25"/>
      <c r="CL61" s="30"/>
    </row>
    <row r="62" spans="1:90" ht="26.45" customHeight="1">
      <c r="A62" s="176">
        <f t="shared" si="3"/>
        <v>58</v>
      </c>
      <c r="B62" s="177"/>
      <c r="C62" s="178" t="s">
        <v>332</v>
      </c>
      <c r="D62" s="179"/>
      <c r="E62" s="179"/>
      <c r="F62" s="179"/>
      <c r="G62" s="179"/>
      <c r="H62" s="179"/>
      <c r="I62" s="179"/>
      <c r="J62" s="179"/>
      <c r="K62" s="179"/>
      <c r="L62" s="180"/>
      <c r="M62" s="78"/>
      <c r="N62" s="80"/>
      <c r="O62" s="80"/>
      <c r="P62" s="80"/>
      <c r="Q62" s="80"/>
      <c r="R62" s="78"/>
      <c r="S62" s="80"/>
      <c r="T62" s="80"/>
      <c r="U62" s="80"/>
      <c r="V62" s="78"/>
      <c r="W62" s="80"/>
      <c r="X62" s="80"/>
      <c r="Y62" s="80"/>
      <c r="Z62" s="80"/>
      <c r="AA62" s="80"/>
      <c r="AB62" s="84"/>
      <c r="AC62" s="84"/>
      <c r="AD62" s="84"/>
      <c r="AE62" s="85"/>
      <c r="AF62" s="84"/>
      <c r="AG62" s="84"/>
      <c r="AH62" s="84"/>
      <c r="AI62" s="84"/>
      <c r="AJ62" s="86"/>
      <c r="AK62" s="84"/>
      <c r="AL62" s="84"/>
      <c r="AM62" s="84"/>
      <c r="AN62" s="84"/>
      <c r="AO62" s="86"/>
      <c r="AP62" s="84"/>
      <c r="AQ62" s="84"/>
      <c r="AR62" s="84"/>
      <c r="AS62" s="86"/>
      <c r="AT62" s="84"/>
      <c r="AU62" s="84"/>
      <c r="AV62" s="84"/>
      <c r="AW62" s="84"/>
      <c r="AX62" s="85"/>
      <c r="AY62" s="84"/>
      <c r="AZ62" s="84"/>
      <c r="BA62" s="84"/>
      <c r="BB62" s="85"/>
      <c r="BC62" s="84"/>
      <c r="BD62" s="84"/>
      <c r="BE62" s="84"/>
      <c r="BF62" s="84"/>
      <c r="BG62" s="86"/>
      <c r="BH62" s="84"/>
      <c r="BI62" s="84"/>
      <c r="BJ62" s="84"/>
      <c r="BK62" s="84"/>
      <c r="BL62" s="86"/>
      <c r="BM62" s="84"/>
      <c r="BN62" s="84"/>
      <c r="BO62" s="84"/>
      <c r="BP62" s="86"/>
      <c r="BQ62" s="84"/>
      <c r="BR62" s="84"/>
      <c r="BS62" s="84"/>
      <c r="BT62" s="84"/>
      <c r="BU62" s="85"/>
      <c r="BV62" s="84"/>
      <c r="BW62" s="84"/>
      <c r="BX62" s="84"/>
      <c r="BY62" s="85"/>
      <c r="BZ62" s="84"/>
      <c r="CA62" s="84"/>
      <c r="CB62" s="84"/>
      <c r="CC62" s="84"/>
      <c r="CD62" s="86"/>
      <c r="CE62" s="84"/>
      <c r="CF62" s="81"/>
      <c r="CG62" s="24"/>
      <c r="CH62" s="25"/>
      <c r="CI62" s="26"/>
      <c r="CJ62" s="28"/>
      <c r="CK62" s="25"/>
      <c r="CL62" s="30"/>
    </row>
    <row r="63" spans="1:90" ht="12.75">
      <c r="A63" s="176">
        <f t="shared" si="3"/>
        <v>59</v>
      </c>
      <c r="B63" s="177"/>
      <c r="C63" s="178" t="s">
        <v>59</v>
      </c>
      <c r="D63" s="179"/>
      <c r="E63" s="179"/>
      <c r="F63" s="179"/>
      <c r="G63" s="179"/>
      <c r="H63" s="179"/>
      <c r="I63" s="179"/>
      <c r="J63" s="179"/>
      <c r="K63" s="179"/>
      <c r="L63" s="180"/>
      <c r="M63" s="78">
        <v>1</v>
      </c>
      <c r="N63" s="80">
        <v>1</v>
      </c>
      <c r="O63" s="80">
        <v>1</v>
      </c>
      <c r="P63" s="80">
        <v>1</v>
      </c>
      <c r="Q63" s="80">
        <v>1</v>
      </c>
      <c r="R63" s="78">
        <v>1</v>
      </c>
      <c r="S63" s="80">
        <v>1</v>
      </c>
      <c r="T63" s="80">
        <v>1</v>
      </c>
      <c r="U63" s="80">
        <v>1</v>
      </c>
      <c r="V63" s="78">
        <v>1</v>
      </c>
      <c r="W63" s="80">
        <v>1</v>
      </c>
      <c r="X63" s="80">
        <v>1</v>
      </c>
      <c r="Y63" s="80">
        <v>1</v>
      </c>
      <c r="Z63" s="80">
        <v>1</v>
      </c>
      <c r="AA63" s="80">
        <v>1</v>
      </c>
      <c r="AB63" s="84">
        <v>1</v>
      </c>
      <c r="AC63" s="84">
        <v>1</v>
      </c>
      <c r="AD63" s="84">
        <v>1</v>
      </c>
      <c r="AE63" s="85">
        <v>1</v>
      </c>
      <c r="AF63" s="84">
        <v>1</v>
      </c>
      <c r="AG63" s="84">
        <v>1</v>
      </c>
      <c r="AH63" s="84">
        <v>1</v>
      </c>
      <c r="AI63" s="84">
        <v>1</v>
      </c>
      <c r="AJ63" s="86">
        <v>1</v>
      </c>
      <c r="AK63" s="84">
        <v>1</v>
      </c>
      <c r="AL63" s="84"/>
      <c r="AM63" s="84"/>
      <c r="AN63" s="84"/>
      <c r="AO63" s="86"/>
      <c r="AP63" s="84"/>
      <c r="AQ63" s="84"/>
      <c r="AR63" s="84"/>
      <c r="AS63" s="86"/>
      <c r="AT63" s="84"/>
      <c r="AU63" s="84"/>
      <c r="AV63" s="84"/>
      <c r="AW63" s="84"/>
      <c r="AX63" s="85"/>
      <c r="AY63" s="84"/>
      <c r="AZ63" s="84"/>
      <c r="BA63" s="84"/>
      <c r="BB63" s="85"/>
      <c r="BC63" s="84"/>
      <c r="BD63" s="84"/>
      <c r="BE63" s="84"/>
      <c r="BF63" s="84"/>
      <c r="BG63" s="86"/>
      <c r="BH63" s="84"/>
      <c r="BI63" s="84"/>
      <c r="BJ63" s="84"/>
      <c r="BK63" s="84"/>
      <c r="BL63" s="86"/>
      <c r="BM63" s="84"/>
      <c r="BN63" s="84"/>
      <c r="BO63" s="84"/>
      <c r="BP63" s="86"/>
      <c r="BQ63" s="84"/>
      <c r="BR63" s="84"/>
      <c r="BS63" s="84"/>
      <c r="BT63" s="84"/>
      <c r="BU63" s="85"/>
      <c r="BV63" s="84"/>
      <c r="BW63" s="84"/>
      <c r="BX63" s="84"/>
      <c r="BY63" s="85"/>
      <c r="BZ63" s="84"/>
      <c r="CA63" s="84"/>
      <c r="CB63" s="84"/>
      <c r="CC63" s="84"/>
      <c r="CD63" s="86"/>
      <c r="CE63" s="84"/>
      <c r="CF63" s="81"/>
      <c r="CG63" s="24"/>
      <c r="CH63" s="25"/>
      <c r="CI63" s="26"/>
      <c r="CJ63" s="28"/>
      <c r="CK63" s="25"/>
      <c r="CL63" s="30"/>
    </row>
    <row r="64" spans="1:90" ht="12.75">
      <c r="A64" s="176">
        <f t="shared" si="3"/>
        <v>60</v>
      </c>
      <c r="B64" s="177"/>
      <c r="C64" s="178" t="s">
        <v>60</v>
      </c>
      <c r="D64" s="179"/>
      <c r="E64" s="179"/>
      <c r="F64" s="179"/>
      <c r="G64" s="179"/>
      <c r="H64" s="179"/>
      <c r="I64" s="179"/>
      <c r="J64" s="179"/>
      <c r="K64" s="179"/>
      <c r="L64" s="180"/>
      <c r="M64" s="78"/>
      <c r="N64" s="80"/>
      <c r="O64" s="80"/>
      <c r="P64" s="80"/>
      <c r="Q64" s="80"/>
      <c r="R64" s="78"/>
      <c r="S64" s="80"/>
      <c r="T64" s="80"/>
      <c r="U64" s="80"/>
      <c r="V64" s="78"/>
      <c r="W64" s="80"/>
      <c r="X64" s="80"/>
      <c r="Y64" s="80"/>
      <c r="Z64" s="80"/>
      <c r="AA64" s="80"/>
      <c r="AB64" s="84"/>
      <c r="AC64" s="84"/>
      <c r="AD64" s="84"/>
      <c r="AE64" s="85"/>
      <c r="AF64" s="84"/>
      <c r="AG64" s="84"/>
      <c r="AH64" s="84"/>
      <c r="AI64" s="84"/>
      <c r="AJ64" s="86"/>
      <c r="AK64" s="84"/>
      <c r="AL64" s="84"/>
      <c r="AM64" s="84"/>
      <c r="AN64" s="84"/>
      <c r="AO64" s="86"/>
      <c r="AP64" s="84"/>
      <c r="AQ64" s="84"/>
      <c r="AR64" s="84"/>
      <c r="AS64" s="86"/>
      <c r="AT64" s="84"/>
      <c r="AU64" s="84"/>
      <c r="AV64" s="84"/>
      <c r="AW64" s="84"/>
      <c r="AX64" s="85"/>
      <c r="AY64" s="84"/>
      <c r="AZ64" s="84"/>
      <c r="BA64" s="84"/>
      <c r="BB64" s="85"/>
      <c r="BC64" s="84"/>
      <c r="BD64" s="84"/>
      <c r="BE64" s="84"/>
      <c r="BF64" s="84"/>
      <c r="BG64" s="86"/>
      <c r="BH64" s="84"/>
      <c r="BI64" s="84"/>
      <c r="BJ64" s="84"/>
      <c r="BK64" s="84"/>
      <c r="BL64" s="86"/>
      <c r="BM64" s="84"/>
      <c r="BN64" s="84"/>
      <c r="BO64" s="84"/>
      <c r="BP64" s="86"/>
      <c r="BQ64" s="84"/>
      <c r="BR64" s="84"/>
      <c r="BS64" s="84"/>
      <c r="BT64" s="84"/>
      <c r="BU64" s="85"/>
      <c r="BV64" s="84"/>
      <c r="BW64" s="84"/>
      <c r="BX64" s="84"/>
      <c r="BY64" s="85"/>
      <c r="BZ64" s="84"/>
      <c r="CA64" s="84"/>
      <c r="CB64" s="84"/>
      <c r="CC64" s="84"/>
      <c r="CD64" s="86"/>
      <c r="CE64" s="84"/>
      <c r="CF64" s="81"/>
      <c r="CG64" s="24"/>
      <c r="CH64" s="25"/>
      <c r="CI64" s="26"/>
      <c r="CJ64" s="28"/>
      <c r="CK64" s="25"/>
      <c r="CL64" s="30"/>
    </row>
    <row r="65" spans="1:90" ht="26.45" customHeight="1">
      <c r="A65" s="176">
        <v>61</v>
      </c>
      <c r="B65" s="177"/>
      <c r="C65" s="93" t="s">
        <v>254</v>
      </c>
      <c r="D65" s="94"/>
      <c r="E65" s="94"/>
      <c r="F65" s="94"/>
      <c r="G65" s="94"/>
      <c r="H65" s="94"/>
      <c r="I65" s="94"/>
      <c r="J65" s="94"/>
      <c r="K65" s="94"/>
      <c r="L65" s="95"/>
      <c r="M65" s="78"/>
      <c r="N65" s="80"/>
      <c r="O65" s="80"/>
      <c r="P65" s="80"/>
      <c r="Q65" s="80">
        <v>1</v>
      </c>
      <c r="R65" s="78"/>
      <c r="S65" s="80"/>
      <c r="T65" s="80"/>
      <c r="U65" s="80"/>
      <c r="V65" s="78"/>
      <c r="W65" s="80"/>
      <c r="X65" s="80"/>
      <c r="Y65" s="80"/>
      <c r="Z65" s="80"/>
      <c r="AA65" s="80"/>
      <c r="AB65" s="84"/>
      <c r="AC65" s="84"/>
      <c r="AD65" s="84"/>
      <c r="AE65" s="85"/>
      <c r="AF65" s="84"/>
      <c r="AG65" s="84"/>
      <c r="AH65" s="84"/>
      <c r="AI65" s="84"/>
      <c r="AJ65" s="86"/>
      <c r="AK65" s="84"/>
      <c r="AL65" s="84"/>
      <c r="AM65" s="84"/>
      <c r="AN65" s="84"/>
      <c r="AO65" s="86"/>
      <c r="AP65" s="84"/>
      <c r="AQ65" s="84"/>
      <c r="AR65" s="84"/>
      <c r="AS65" s="86"/>
      <c r="AT65" s="84"/>
      <c r="AU65" s="84"/>
      <c r="AV65" s="84"/>
      <c r="AW65" s="84"/>
      <c r="AX65" s="85"/>
      <c r="AY65" s="84"/>
      <c r="AZ65" s="84"/>
      <c r="BA65" s="84"/>
      <c r="BB65" s="85"/>
      <c r="BC65" s="84"/>
      <c r="BD65" s="84"/>
      <c r="BE65" s="84"/>
      <c r="BF65" s="84"/>
      <c r="BG65" s="86"/>
      <c r="BH65" s="84"/>
      <c r="BI65" s="84"/>
      <c r="BJ65" s="84"/>
      <c r="BK65" s="84"/>
      <c r="BL65" s="86"/>
      <c r="BM65" s="84"/>
      <c r="BN65" s="84"/>
      <c r="BO65" s="84"/>
      <c r="BP65" s="86"/>
      <c r="BQ65" s="84"/>
      <c r="BR65" s="84"/>
      <c r="BS65" s="84"/>
      <c r="BT65" s="84"/>
      <c r="BU65" s="85"/>
      <c r="BV65" s="84"/>
      <c r="BW65" s="84"/>
      <c r="BX65" s="84"/>
      <c r="BY65" s="85"/>
      <c r="BZ65" s="84"/>
      <c r="CA65" s="84"/>
      <c r="CB65" s="84"/>
      <c r="CC65" s="84"/>
      <c r="CD65" s="86"/>
      <c r="CE65" s="84"/>
      <c r="CF65" s="81"/>
      <c r="CG65" s="53"/>
      <c r="CH65" s="54"/>
      <c r="CI65" s="55"/>
      <c r="CJ65" s="56"/>
      <c r="CK65" s="54"/>
      <c r="CL65" s="57"/>
    </row>
    <row r="66" spans="1:90" ht="26.45" customHeight="1">
      <c r="A66" s="176">
        <v>62</v>
      </c>
      <c r="B66" s="177"/>
      <c r="C66" s="93" t="s">
        <v>246</v>
      </c>
      <c r="D66" s="94"/>
      <c r="E66" s="94"/>
      <c r="F66" s="94"/>
      <c r="G66" s="94"/>
      <c r="H66" s="94"/>
      <c r="I66" s="94"/>
      <c r="J66" s="94"/>
      <c r="K66" s="94"/>
      <c r="L66" s="95"/>
      <c r="M66" s="78"/>
      <c r="N66" s="80"/>
      <c r="O66" s="80"/>
      <c r="P66" s="80"/>
      <c r="Q66" s="80"/>
      <c r="R66" s="78"/>
      <c r="S66" s="80"/>
      <c r="T66" s="80"/>
      <c r="U66" s="80"/>
      <c r="V66" s="78"/>
      <c r="W66" s="80"/>
      <c r="X66" s="80"/>
      <c r="Y66" s="80"/>
      <c r="Z66" s="80"/>
      <c r="AA66" s="80"/>
      <c r="AB66" s="84"/>
      <c r="AC66" s="84"/>
      <c r="AD66" s="84"/>
      <c r="AE66" s="85"/>
      <c r="AF66" s="84"/>
      <c r="AG66" s="84"/>
      <c r="AH66" s="84"/>
      <c r="AI66" s="84"/>
      <c r="AJ66" s="86"/>
      <c r="AK66" s="84"/>
      <c r="AL66" s="84"/>
      <c r="AM66" s="84"/>
      <c r="AN66" s="84"/>
      <c r="AO66" s="86"/>
      <c r="AP66" s="84"/>
      <c r="AQ66" s="84"/>
      <c r="AR66" s="84"/>
      <c r="AS66" s="86"/>
      <c r="AT66" s="84"/>
      <c r="AU66" s="84"/>
      <c r="AV66" s="84"/>
      <c r="AW66" s="84"/>
      <c r="AX66" s="85"/>
      <c r="AY66" s="84"/>
      <c r="AZ66" s="84"/>
      <c r="BA66" s="84"/>
      <c r="BB66" s="85"/>
      <c r="BC66" s="84"/>
      <c r="BD66" s="84"/>
      <c r="BE66" s="84"/>
      <c r="BF66" s="84"/>
      <c r="BG66" s="86"/>
      <c r="BH66" s="84"/>
      <c r="BI66" s="84"/>
      <c r="BJ66" s="84"/>
      <c r="BK66" s="84"/>
      <c r="BL66" s="86"/>
      <c r="BM66" s="84"/>
      <c r="BN66" s="84"/>
      <c r="BO66" s="84"/>
      <c r="BP66" s="86"/>
      <c r="BQ66" s="84"/>
      <c r="BR66" s="84"/>
      <c r="BS66" s="84"/>
      <c r="BT66" s="84"/>
      <c r="BU66" s="85"/>
      <c r="BV66" s="84"/>
      <c r="BW66" s="84"/>
      <c r="BX66" s="84"/>
      <c r="BY66" s="85"/>
      <c r="BZ66" s="84"/>
      <c r="CA66" s="84"/>
      <c r="CB66" s="84"/>
      <c r="CC66" s="84"/>
      <c r="CD66" s="86"/>
      <c r="CE66" s="84"/>
      <c r="CF66" s="81"/>
      <c r="CG66" s="53"/>
      <c r="CH66" s="54"/>
      <c r="CI66" s="55"/>
      <c r="CJ66" s="56"/>
      <c r="CK66" s="54"/>
      <c r="CL66" s="57"/>
    </row>
    <row r="67" spans="1:90" ht="26.45" customHeight="1">
      <c r="A67" s="176">
        <v>63</v>
      </c>
      <c r="B67" s="177"/>
      <c r="C67" s="93" t="s">
        <v>241</v>
      </c>
      <c r="D67" s="94"/>
      <c r="E67" s="94"/>
      <c r="F67" s="94"/>
      <c r="G67" s="94"/>
      <c r="H67" s="94"/>
      <c r="I67" s="94"/>
      <c r="J67" s="94"/>
      <c r="K67" s="94"/>
      <c r="L67" s="95"/>
      <c r="M67" s="78"/>
      <c r="N67" s="80">
        <v>1</v>
      </c>
      <c r="O67" s="80">
        <v>1</v>
      </c>
      <c r="P67" s="80"/>
      <c r="Q67" s="80"/>
      <c r="R67" s="78"/>
      <c r="S67" s="80"/>
      <c r="T67" s="80"/>
      <c r="U67" s="80"/>
      <c r="V67" s="78"/>
      <c r="W67" s="80"/>
      <c r="X67" s="80"/>
      <c r="Y67" s="80"/>
      <c r="Z67" s="80"/>
      <c r="AA67" s="80"/>
      <c r="AB67" s="84"/>
      <c r="AC67" s="84"/>
      <c r="AD67" s="84"/>
      <c r="AE67" s="85"/>
      <c r="AF67" s="84"/>
      <c r="AG67" s="84"/>
      <c r="AH67" s="84"/>
      <c r="AI67" s="84"/>
      <c r="AJ67" s="86"/>
      <c r="AK67" s="84"/>
      <c r="AL67" s="84"/>
      <c r="AM67" s="84"/>
      <c r="AN67" s="84"/>
      <c r="AO67" s="86"/>
      <c r="AP67" s="84"/>
      <c r="AQ67" s="84"/>
      <c r="AR67" s="84"/>
      <c r="AS67" s="86"/>
      <c r="AT67" s="84"/>
      <c r="AU67" s="84"/>
      <c r="AV67" s="84"/>
      <c r="AW67" s="84"/>
      <c r="AX67" s="85"/>
      <c r="AY67" s="84"/>
      <c r="AZ67" s="84"/>
      <c r="BA67" s="84"/>
      <c r="BB67" s="85"/>
      <c r="BC67" s="84"/>
      <c r="BD67" s="84"/>
      <c r="BE67" s="84"/>
      <c r="BF67" s="84"/>
      <c r="BG67" s="86"/>
      <c r="BH67" s="84"/>
      <c r="BI67" s="84"/>
      <c r="BJ67" s="84"/>
      <c r="BK67" s="84"/>
      <c r="BL67" s="86"/>
      <c r="BM67" s="84"/>
      <c r="BN67" s="84"/>
      <c r="BO67" s="84"/>
      <c r="BP67" s="86"/>
      <c r="BQ67" s="84"/>
      <c r="BR67" s="84"/>
      <c r="BS67" s="84"/>
      <c r="BT67" s="84"/>
      <c r="BU67" s="85"/>
      <c r="BV67" s="84"/>
      <c r="BW67" s="84"/>
      <c r="BX67" s="84"/>
      <c r="BY67" s="85"/>
      <c r="BZ67" s="84"/>
      <c r="CA67" s="84"/>
      <c r="CB67" s="84"/>
      <c r="CC67" s="84"/>
      <c r="CD67" s="86"/>
      <c r="CE67" s="84"/>
      <c r="CF67" s="81"/>
      <c r="CG67" s="53"/>
      <c r="CH67" s="54"/>
      <c r="CI67" s="55"/>
      <c r="CJ67" s="56"/>
      <c r="CK67" s="54"/>
      <c r="CL67" s="57"/>
    </row>
    <row r="68" spans="1:90" ht="26.45" customHeight="1">
      <c r="A68" s="176">
        <v>64</v>
      </c>
      <c r="B68" s="177"/>
      <c r="C68" s="178" t="s">
        <v>258</v>
      </c>
      <c r="D68" s="179"/>
      <c r="E68" s="179"/>
      <c r="F68" s="179"/>
      <c r="G68" s="179"/>
      <c r="H68" s="179"/>
      <c r="I68" s="179"/>
      <c r="J68" s="179"/>
      <c r="K68" s="179"/>
      <c r="L68" s="180"/>
      <c r="M68" s="78"/>
      <c r="N68" s="80"/>
      <c r="O68" s="80"/>
      <c r="P68" s="80"/>
      <c r="Q68" s="80"/>
      <c r="R68" s="78"/>
      <c r="S68" s="80"/>
      <c r="T68" s="80"/>
      <c r="U68" s="80"/>
      <c r="V68" s="78"/>
      <c r="W68" s="80"/>
      <c r="X68" s="80"/>
      <c r="Y68" s="80"/>
      <c r="Z68" s="80"/>
      <c r="AA68" s="80"/>
      <c r="AB68" s="84"/>
      <c r="AC68" s="84"/>
      <c r="AD68" s="84"/>
      <c r="AE68" s="85"/>
      <c r="AF68" s="84"/>
      <c r="AG68" s="84"/>
      <c r="AH68" s="84"/>
      <c r="AI68" s="84"/>
      <c r="AJ68" s="86"/>
      <c r="AK68" s="84"/>
      <c r="AL68" s="84"/>
      <c r="AM68" s="84"/>
      <c r="AN68" s="84"/>
      <c r="AO68" s="86"/>
      <c r="AP68" s="84"/>
      <c r="AQ68" s="84"/>
      <c r="AR68" s="84"/>
      <c r="AS68" s="86"/>
      <c r="AT68" s="84"/>
      <c r="AU68" s="84"/>
      <c r="AV68" s="84"/>
      <c r="AW68" s="84"/>
      <c r="AX68" s="85"/>
      <c r="AY68" s="84"/>
      <c r="AZ68" s="84"/>
      <c r="BA68" s="84"/>
      <c r="BB68" s="85"/>
      <c r="BC68" s="84"/>
      <c r="BD68" s="84"/>
      <c r="BE68" s="84"/>
      <c r="BF68" s="84"/>
      <c r="BG68" s="86"/>
      <c r="BH68" s="84"/>
      <c r="BI68" s="84"/>
      <c r="BJ68" s="84"/>
      <c r="BK68" s="84"/>
      <c r="BL68" s="86"/>
      <c r="BM68" s="84"/>
      <c r="BN68" s="84"/>
      <c r="BO68" s="84"/>
      <c r="BP68" s="86"/>
      <c r="BQ68" s="84"/>
      <c r="BR68" s="84"/>
      <c r="BS68" s="84"/>
      <c r="BT68" s="84"/>
      <c r="BU68" s="85"/>
      <c r="BV68" s="84"/>
      <c r="BW68" s="84"/>
      <c r="BX68" s="84"/>
      <c r="BY68" s="85"/>
      <c r="BZ68" s="84"/>
      <c r="CA68" s="84"/>
      <c r="CB68" s="84"/>
      <c r="CC68" s="84"/>
      <c r="CD68" s="86"/>
      <c r="CE68" s="84"/>
      <c r="CF68" s="81"/>
      <c r="CG68" s="53"/>
      <c r="CH68" s="54"/>
      <c r="CI68" s="55"/>
      <c r="CJ68" s="56"/>
      <c r="CK68" s="54"/>
      <c r="CL68" s="57"/>
    </row>
    <row r="69" spans="1:90" ht="26.45" customHeight="1">
      <c r="A69" s="176">
        <v>65</v>
      </c>
      <c r="B69" s="177"/>
      <c r="C69" s="178" t="s">
        <v>262</v>
      </c>
      <c r="D69" s="179"/>
      <c r="E69" s="179"/>
      <c r="F69" s="179"/>
      <c r="G69" s="179"/>
      <c r="H69" s="179"/>
      <c r="I69" s="179"/>
      <c r="J69" s="179"/>
      <c r="K69" s="179"/>
      <c r="L69" s="180"/>
      <c r="M69" s="78"/>
      <c r="N69" s="80"/>
      <c r="O69" s="80"/>
      <c r="P69" s="80"/>
      <c r="Q69" s="80"/>
      <c r="R69" s="78"/>
      <c r="S69" s="80"/>
      <c r="T69" s="80"/>
      <c r="U69" s="80"/>
      <c r="V69" s="78"/>
      <c r="W69" s="80"/>
      <c r="X69" s="80"/>
      <c r="Y69" s="80"/>
      <c r="Z69" s="80"/>
      <c r="AA69" s="80"/>
      <c r="AB69" s="84"/>
      <c r="AC69" s="84"/>
      <c r="AD69" s="84"/>
      <c r="AE69" s="85"/>
      <c r="AF69" s="84"/>
      <c r="AG69" s="84"/>
      <c r="AH69" s="84"/>
      <c r="AI69" s="84"/>
      <c r="AJ69" s="86"/>
      <c r="AK69" s="84"/>
      <c r="AL69" s="84"/>
      <c r="AM69" s="84"/>
      <c r="AN69" s="84"/>
      <c r="AO69" s="86"/>
      <c r="AP69" s="84"/>
      <c r="AQ69" s="84"/>
      <c r="AR69" s="84"/>
      <c r="AS69" s="86"/>
      <c r="AT69" s="84"/>
      <c r="AU69" s="84"/>
      <c r="AV69" s="84"/>
      <c r="AW69" s="84"/>
      <c r="AX69" s="85"/>
      <c r="AY69" s="84"/>
      <c r="AZ69" s="84"/>
      <c r="BA69" s="84"/>
      <c r="BB69" s="85"/>
      <c r="BC69" s="84"/>
      <c r="BD69" s="84"/>
      <c r="BE69" s="84"/>
      <c r="BF69" s="84"/>
      <c r="BG69" s="86"/>
      <c r="BH69" s="84"/>
      <c r="BI69" s="84"/>
      <c r="BJ69" s="84"/>
      <c r="BK69" s="84"/>
      <c r="BL69" s="86"/>
      <c r="BM69" s="84"/>
      <c r="BN69" s="84"/>
      <c r="BO69" s="84"/>
      <c r="BP69" s="86"/>
      <c r="BQ69" s="84"/>
      <c r="BR69" s="84"/>
      <c r="BS69" s="84"/>
      <c r="BT69" s="84"/>
      <c r="BU69" s="85"/>
      <c r="BV69" s="84"/>
      <c r="BW69" s="84"/>
      <c r="BX69" s="84"/>
      <c r="BY69" s="85"/>
      <c r="BZ69" s="84"/>
      <c r="CA69" s="84"/>
      <c r="CB69" s="84"/>
      <c r="CC69" s="84"/>
      <c r="CD69" s="86"/>
      <c r="CE69" s="84"/>
      <c r="CF69" s="81"/>
      <c r="CG69" s="53"/>
      <c r="CH69" s="54"/>
      <c r="CI69" s="55"/>
      <c r="CJ69" s="56"/>
      <c r="CK69" s="54"/>
      <c r="CL69" s="57"/>
    </row>
    <row r="70" spans="1:90" ht="26.45" customHeight="1">
      <c r="A70" s="176">
        <v>66</v>
      </c>
      <c r="B70" s="177"/>
      <c r="C70" s="178" t="s">
        <v>263</v>
      </c>
      <c r="D70" s="179"/>
      <c r="E70" s="179"/>
      <c r="F70" s="179"/>
      <c r="G70" s="179"/>
      <c r="H70" s="179"/>
      <c r="I70" s="179"/>
      <c r="J70" s="179"/>
      <c r="K70" s="179"/>
      <c r="L70" s="180"/>
      <c r="M70" s="78"/>
      <c r="N70" s="80"/>
      <c r="O70" s="80"/>
      <c r="P70" s="80"/>
      <c r="Q70" s="80"/>
      <c r="R70" s="78"/>
      <c r="S70" s="80"/>
      <c r="T70" s="80"/>
      <c r="U70" s="80"/>
      <c r="V70" s="78"/>
      <c r="W70" s="80"/>
      <c r="X70" s="80"/>
      <c r="Y70" s="80"/>
      <c r="Z70" s="80"/>
      <c r="AA70" s="80"/>
      <c r="AB70" s="84"/>
      <c r="AC70" s="84"/>
      <c r="AD70" s="84"/>
      <c r="AE70" s="85"/>
      <c r="AF70" s="84"/>
      <c r="AG70" s="84"/>
      <c r="AH70" s="84"/>
      <c r="AI70" s="84"/>
      <c r="AJ70" s="86"/>
      <c r="AK70" s="84"/>
      <c r="AL70" s="84"/>
      <c r="AM70" s="84"/>
      <c r="AN70" s="84"/>
      <c r="AO70" s="86"/>
      <c r="AP70" s="84"/>
      <c r="AQ70" s="84"/>
      <c r="AR70" s="84"/>
      <c r="AS70" s="86"/>
      <c r="AT70" s="84"/>
      <c r="AU70" s="84"/>
      <c r="AV70" s="84"/>
      <c r="AW70" s="84"/>
      <c r="AX70" s="85"/>
      <c r="AY70" s="84"/>
      <c r="AZ70" s="84"/>
      <c r="BA70" s="84"/>
      <c r="BB70" s="85"/>
      <c r="BC70" s="84"/>
      <c r="BD70" s="84"/>
      <c r="BE70" s="84"/>
      <c r="BF70" s="84"/>
      <c r="BG70" s="86"/>
      <c r="BH70" s="84"/>
      <c r="BI70" s="84"/>
      <c r="BJ70" s="84"/>
      <c r="BK70" s="84"/>
      <c r="BL70" s="86"/>
      <c r="BM70" s="84"/>
      <c r="BN70" s="84"/>
      <c r="BO70" s="84"/>
      <c r="BP70" s="86"/>
      <c r="BQ70" s="84"/>
      <c r="BR70" s="84"/>
      <c r="BS70" s="84"/>
      <c r="BT70" s="84"/>
      <c r="BU70" s="85"/>
      <c r="BV70" s="84"/>
      <c r="BW70" s="84"/>
      <c r="BX70" s="84"/>
      <c r="BY70" s="85"/>
      <c r="BZ70" s="84"/>
      <c r="CA70" s="84"/>
      <c r="CB70" s="84"/>
      <c r="CC70" s="84"/>
      <c r="CD70" s="86"/>
      <c r="CE70" s="84"/>
      <c r="CF70" s="81"/>
      <c r="CG70" s="53"/>
      <c r="CH70" s="54"/>
      <c r="CI70" s="55"/>
      <c r="CJ70" s="56"/>
      <c r="CK70" s="54"/>
      <c r="CL70" s="57"/>
    </row>
    <row r="71" spans="1:90" ht="26.45" customHeight="1">
      <c r="A71" s="176">
        <v>67</v>
      </c>
      <c r="B71" s="177"/>
      <c r="C71" s="178" t="s">
        <v>264</v>
      </c>
      <c r="D71" s="179"/>
      <c r="E71" s="179"/>
      <c r="F71" s="179"/>
      <c r="G71" s="179"/>
      <c r="H71" s="179"/>
      <c r="I71" s="179"/>
      <c r="J71" s="179"/>
      <c r="K71" s="179"/>
      <c r="L71" s="180"/>
      <c r="M71" s="78"/>
      <c r="N71" s="80"/>
      <c r="O71" s="80"/>
      <c r="P71" s="80"/>
      <c r="Q71" s="80"/>
      <c r="R71" s="78"/>
      <c r="S71" s="80"/>
      <c r="T71" s="80"/>
      <c r="U71" s="80"/>
      <c r="V71" s="78"/>
      <c r="W71" s="80"/>
      <c r="X71" s="80"/>
      <c r="Y71" s="80"/>
      <c r="Z71" s="80"/>
      <c r="AA71" s="80"/>
      <c r="AB71" s="84"/>
      <c r="AC71" s="84"/>
      <c r="AD71" s="84"/>
      <c r="AE71" s="85"/>
      <c r="AF71" s="84"/>
      <c r="AG71" s="84"/>
      <c r="AH71" s="84"/>
      <c r="AI71" s="84"/>
      <c r="AJ71" s="86"/>
      <c r="AK71" s="84"/>
      <c r="AL71" s="84"/>
      <c r="AM71" s="84"/>
      <c r="AN71" s="84"/>
      <c r="AO71" s="86"/>
      <c r="AP71" s="84"/>
      <c r="AQ71" s="84"/>
      <c r="AR71" s="84"/>
      <c r="AS71" s="86"/>
      <c r="AT71" s="84"/>
      <c r="AU71" s="84"/>
      <c r="AV71" s="84"/>
      <c r="AW71" s="84"/>
      <c r="AX71" s="85"/>
      <c r="AY71" s="84"/>
      <c r="AZ71" s="84"/>
      <c r="BA71" s="84"/>
      <c r="BB71" s="85"/>
      <c r="BC71" s="84"/>
      <c r="BD71" s="84"/>
      <c r="BE71" s="84"/>
      <c r="BF71" s="84"/>
      <c r="BG71" s="86"/>
      <c r="BH71" s="84"/>
      <c r="BI71" s="84"/>
      <c r="BJ71" s="84"/>
      <c r="BK71" s="84"/>
      <c r="BL71" s="86"/>
      <c r="BM71" s="84"/>
      <c r="BN71" s="84"/>
      <c r="BO71" s="84"/>
      <c r="BP71" s="86"/>
      <c r="BQ71" s="84"/>
      <c r="BR71" s="84"/>
      <c r="BS71" s="84"/>
      <c r="BT71" s="84"/>
      <c r="BU71" s="85"/>
      <c r="BV71" s="84"/>
      <c r="BW71" s="84"/>
      <c r="BX71" s="84"/>
      <c r="BY71" s="85"/>
      <c r="BZ71" s="84"/>
      <c r="CA71" s="84"/>
      <c r="CB71" s="84"/>
      <c r="CC71" s="84"/>
      <c r="CD71" s="86"/>
      <c r="CE71" s="84"/>
      <c r="CF71" s="81"/>
      <c r="CG71" s="53"/>
      <c r="CH71" s="54"/>
      <c r="CI71" s="55"/>
      <c r="CJ71" s="56"/>
      <c r="CK71" s="54"/>
      <c r="CL71" s="57"/>
    </row>
    <row r="72" spans="1:90" ht="26.45" customHeight="1">
      <c r="A72" s="176">
        <v>68</v>
      </c>
      <c r="B72" s="177"/>
      <c r="C72" s="178" t="s">
        <v>265</v>
      </c>
      <c r="D72" s="179"/>
      <c r="E72" s="179"/>
      <c r="F72" s="179"/>
      <c r="G72" s="179"/>
      <c r="H72" s="179"/>
      <c r="I72" s="179"/>
      <c r="J72" s="179"/>
      <c r="K72" s="179"/>
      <c r="L72" s="180"/>
      <c r="M72" s="78"/>
      <c r="N72" s="80"/>
      <c r="O72" s="80"/>
      <c r="P72" s="80"/>
      <c r="Q72" s="80"/>
      <c r="R72" s="78"/>
      <c r="S72" s="80"/>
      <c r="T72" s="80"/>
      <c r="U72" s="80"/>
      <c r="V72" s="78"/>
      <c r="W72" s="80"/>
      <c r="X72" s="80"/>
      <c r="Y72" s="80"/>
      <c r="Z72" s="80"/>
      <c r="AA72" s="80"/>
      <c r="AB72" s="84"/>
      <c r="AC72" s="84">
        <v>1</v>
      </c>
      <c r="AD72" s="84"/>
      <c r="AE72" s="85"/>
      <c r="AF72" s="84"/>
      <c r="AG72" s="84"/>
      <c r="AH72" s="84"/>
      <c r="AI72" s="84"/>
      <c r="AJ72" s="86"/>
      <c r="AK72" s="84"/>
      <c r="AL72" s="84"/>
      <c r="AM72" s="84"/>
      <c r="AN72" s="84"/>
      <c r="AO72" s="86"/>
      <c r="AP72" s="84"/>
      <c r="AQ72" s="84"/>
      <c r="AR72" s="84"/>
      <c r="AS72" s="86"/>
      <c r="AT72" s="84"/>
      <c r="AU72" s="84"/>
      <c r="AV72" s="84"/>
      <c r="AW72" s="84"/>
      <c r="AX72" s="85"/>
      <c r="AY72" s="84"/>
      <c r="AZ72" s="84"/>
      <c r="BA72" s="84"/>
      <c r="BB72" s="85"/>
      <c r="BC72" s="84"/>
      <c r="BD72" s="84"/>
      <c r="BE72" s="84"/>
      <c r="BF72" s="84"/>
      <c r="BG72" s="86"/>
      <c r="BH72" s="84"/>
      <c r="BI72" s="84"/>
      <c r="BJ72" s="84"/>
      <c r="BK72" s="84"/>
      <c r="BL72" s="86"/>
      <c r="BM72" s="84"/>
      <c r="BN72" s="84"/>
      <c r="BO72" s="84"/>
      <c r="BP72" s="86"/>
      <c r="BQ72" s="84"/>
      <c r="BR72" s="84"/>
      <c r="BS72" s="84"/>
      <c r="BT72" s="84"/>
      <c r="BU72" s="85"/>
      <c r="BV72" s="84"/>
      <c r="BW72" s="84"/>
      <c r="BX72" s="84"/>
      <c r="BY72" s="85"/>
      <c r="BZ72" s="84"/>
      <c r="CA72" s="84"/>
      <c r="CB72" s="84"/>
      <c r="CC72" s="84"/>
      <c r="CD72" s="86"/>
      <c r="CE72" s="84"/>
      <c r="CF72" s="81"/>
      <c r="CG72" s="53"/>
      <c r="CH72" s="54"/>
      <c r="CI72" s="55"/>
      <c r="CJ72" s="56"/>
      <c r="CK72" s="54"/>
      <c r="CL72" s="57"/>
    </row>
    <row r="73" spans="1:90" ht="26.45" customHeight="1">
      <c r="A73" s="176">
        <v>69</v>
      </c>
      <c r="B73" s="177"/>
      <c r="C73" s="178" t="s">
        <v>266</v>
      </c>
      <c r="D73" s="179"/>
      <c r="E73" s="179"/>
      <c r="F73" s="179"/>
      <c r="G73" s="179"/>
      <c r="H73" s="179"/>
      <c r="I73" s="179"/>
      <c r="J73" s="179"/>
      <c r="K73" s="179"/>
      <c r="L73" s="180"/>
      <c r="M73" s="78"/>
      <c r="N73" s="80"/>
      <c r="O73" s="80"/>
      <c r="P73" s="80"/>
      <c r="Q73" s="80"/>
      <c r="R73" s="78"/>
      <c r="S73" s="80"/>
      <c r="T73" s="80"/>
      <c r="U73" s="80"/>
      <c r="V73" s="78"/>
      <c r="W73" s="80"/>
      <c r="X73" s="80"/>
      <c r="Y73" s="80"/>
      <c r="Z73" s="80"/>
      <c r="AA73" s="80"/>
      <c r="AB73" s="84"/>
      <c r="AC73" s="84">
        <v>1</v>
      </c>
      <c r="AD73" s="84"/>
      <c r="AE73" s="85"/>
      <c r="AF73" s="84"/>
      <c r="AG73" s="84"/>
      <c r="AH73" s="84"/>
      <c r="AI73" s="84"/>
      <c r="AJ73" s="86"/>
      <c r="AK73" s="84"/>
      <c r="AL73" s="84"/>
      <c r="AM73" s="84"/>
      <c r="AN73" s="84"/>
      <c r="AO73" s="86"/>
      <c r="AP73" s="84"/>
      <c r="AQ73" s="84"/>
      <c r="AR73" s="84"/>
      <c r="AS73" s="86"/>
      <c r="AT73" s="84"/>
      <c r="AU73" s="84"/>
      <c r="AV73" s="84"/>
      <c r="AW73" s="84"/>
      <c r="AX73" s="85"/>
      <c r="AY73" s="84"/>
      <c r="AZ73" s="84"/>
      <c r="BA73" s="84"/>
      <c r="BB73" s="85"/>
      <c r="BC73" s="84"/>
      <c r="BD73" s="84"/>
      <c r="BE73" s="84"/>
      <c r="BF73" s="84"/>
      <c r="BG73" s="86"/>
      <c r="BH73" s="84"/>
      <c r="BI73" s="84"/>
      <c r="BJ73" s="84"/>
      <c r="BK73" s="84"/>
      <c r="BL73" s="86"/>
      <c r="BM73" s="84"/>
      <c r="BN73" s="84"/>
      <c r="BO73" s="84"/>
      <c r="BP73" s="86"/>
      <c r="BQ73" s="84"/>
      <c r="BR73" s="84"/>
      <c r="BS73" s="84"/>
      <c r="BT73" s="84"/>
      <c r="BU73" s="85"/>
      <c r="BV73" s="84"/>
      <c r="BW73" s="84"/>
      <c r="BX73" s="84"/>
      <c r="BY73" s="85"/>
      <c r="BZ73" s="84"/>
      <c r="CA73" s="84"/>
      <c r="CB73" s="84"/>
      <c r="CC73" s="84"/>
      <c r="CD73" s="86"/>
      <c r="CE73" s="84"/>
      <c r="CF73" s="81"/>
      <c r="CG73" s="53"/>
      <c r="CH73" s="54"/>
      <c r="CI73" s="55"/>
      <c r="CJ73" s="56"/>
      <c r="CK73" s="54"/>
      <c r="CL73" s="57"/>
    </row>
    <row r="74" spans="1:90" ht="26.45" customHeight="1">
      <c r="A74" s="176">
        <v>70</v>
      </c>
      <c r="B74" s="177"/>
      <c r="C74" s="178" t="s">
        <v>267</v>
      </c>
      <c r="D74" s="179"/>
      <c r="E74" s="179"/>
      <c r="F74" s="179"/>
      <c r="G74" s="179"/>
      <c r="H74" s="179"/>
      <c r="I74" s="179"/>
      <c r="J74" s="179"/>
      <c r="K74" s="179"/>
      <c r="L74" s="180"/>
      <c r="M74" s="78"/>
      <c r="N74" s="80"/>
      <c r="O74" s="80"/>
      <c r="P74" s="80"/>
      <c r="Q74" s="80"/>
      <c r="R74" s="78"/>
      <c r="S74" s="80"/>
      <c r="T74" s="80"/>
      <c r="U74" s="80"/>
      <c r="V74" s="78"/>
      <c r="W74" s="80"/>
      <c r="X74" s="80"/>
      <c r="Y74" s="80"/>
      <c r="Z74" s="80"/>
      <c r="AA74" s="80"/>
      <c r="AB74" s="84"/>
      <c r="AC74" s="84">
        <v>1</v>
      </c>
      <c r="AD74" s="84"/>
      <c r="AE74" s="85"/>
      <c r="AF74" s="84"/>
      <c r="AG74" s="84"/>
      <c r="AH74" s="84"/>
      <c r="AI74" s="84"/>
      <c r="AJ74" s="86"/>
      <c r="AK74" s="84"/>
      <c r="AL74" s="84"/>
      <c r="AM74" s="84"/>
      <c r="AN74" s="84"/>
      <c r="AO74" s="86"/>
      <c r="AP74" s="84"/>
      <c r="AQ74" s="84"/>
      <c r="AR74" s="84"/>
      <c r="AS74" s="86"/>
      <c r="AT74" s="84"/>
      <c r="AU74" s="84"/>
      <c r="AV74" s="84"/>
      <c r="AW74" s="84"/>
      <c r="AX74" s="85"/>
      <c r="AY74" s="84"/>
      <c r="AZ74" s="84"/>
      <c r="BA74" s="84"/>
      <c r="BB74" s="85"/>
      <c r="BC74" s="84"/>
      <c r="BD74" s="84"/>
      <c r="BE74" s="84"/>
      <c r="BF74" s="84"/>
      <c r="BG74" s="86"/>
      <c r="BH74" s="84"/>
      <c r="BI74" s="84"/>
      <c r="BJ74" s="84"/>
      <c r="BK74" s="84"/>
      <c r="BL74" s="86"/>
      <c r="BM74" s="84"/>
      <c r="BN74" s="84"/>
      <c r="BO74" s="84"/>
      <c r="BP74" s="86"/>
      <c r="BQ74" s="84"/>
      <c r="BR74" s="84"/>
      <c r="BS74" s="84"/>
      <c r="BT74" s="84"/>
      <c r="BU74" s="85"/>
      <c r="BV74" s="84"/>
      <c r="BW74" s="84"/>
      <c r="BX74" s="84"/>
      <c r="BY74" s="85"/>
      <c r="BZ74" s="84"/>
      <c r="CA74" s="84"/>
      <c r="CB74" s="84"/>
      <c r="CC74" s="84"/>
      <c r="CD74" s="86"/>
      <c r="CE74" s="84"/>
      <c r="CF74" s="81"/>
      <c r="CG74" s="53"/>
      <c r="CH74" s="54"/>
      <c r="CI74" s="55"/>
      <c r="CJ74" s="56"/>
      <c r="CK74" s="54"/>
      <c r="CL74" s="57"/>
    </row>
    <row r="75" spans="1:90" ht="26.45" customHeight="1">
      <c r="A75" s="176">
        <v>71</v>
      </c>
      <c r="B75" s="177"/>
      <c r="C75" s="178" t="s">
        <v>268</v>
      </c>
      <c r="D75" s="179"/>
      <c r="E75" s="179"/>
      <c r="F75" s="179"/>
      <c r="G75" s="179"/>
      <c r="H75" s="179"/>
      <c r="I75" s="179"/>
      <c r="J75" s="179"/>
      <c r="K75" s="179"/>
      <c r="L75" s="180"/>
      <c r="M75" s="78"/>
      <c r="N75" s="80"/>
      <c r="O75" s="80"/>
      <c r="P75" s="80"/>
      <c r="Q75" s="80"/>
      <c r="R75" s="78"/>
      <c r="S75" s="80"/>
      <c r="T75" s="80"/>
      <c r="U75" s="80"/>
      <c r="V75" s="78"/>
      <c r="W75" s="80"/>
      <c r="X75" s="80"/>
      <c r="Y75" s="80"/>
      <c r="Z75" s="80"/>
      <c r="AA75" s="80"/>
      <c r="AB75" s="84"/>
      <c r="AC75" s="84"/>
      <c r="AD75" s="84"/>
      <c r="AE75" s="85"/>
      <c r="AF75" s="84"/>
      <c r="AG75" s="84"/>
      <c r="AH75" s="84"/>
      <c r="AI75" s="84"/>
      <c r="AJ75" s="86"/>
      <c r="AK75" s="84"/>
      <c r="AL75" s="84"/>
      <c r="AM75" s="84"/>
      <c r="AN75" s="84"/>
      <c r="AO75" s="86"/>
      <c r="AP75" s="84"/>
      <c r="AQ75" s="84"/>
      <c r="AR75" s="84"/>
      <c r="AS75" s="86"/>
      <c r="AT75" s="84"/>
      <c r="AU75" s="84"/>
      <c r="AV75" s="84"/>
      <c r="AW75" s="84"/>
      <c r="AX75" s="85"/>
      <c r="AY75" s="84"/>
      <c r="AZ75" s="84"/>
      <c r="BA75" s="84"/>
      <c r="BB75" s="85"/>
      <c r="BC75" s="84"/>
      <c r="BD75" s="84"/>
      <c r="BE75" s="84"/>
      <c r="BF75" s="84"/>
      <c r="BG75" s="86"/>
      <c r="BH75" s="84"/>
      <c r="BI75" s="84"/>
      <c r="BJ75" s="84"/>
      <c r="BK75" s="84"/>
      <c r="BL75" s="86"/>
      <c r="BM75" s="84"/>
      <c r="BN75" s="84"/>
      <c r="BO75" s="84"/>
      <c r="BP75" s="86"/>
      <c r="BQ75" s="84"/>
      <c r="BR75" s="84"/>
      <c r="BS75" s="84"/>
      <c r="BT75" s="84"/>
      <c r="BU75" s="85"/>
      <c r="BV75" s="84"/>
      <c r="BW75" s="84"/>
      <c r="BX75" s="84"/>
      <c r="BY75" s="85"/>
      <c r="BZ75" s="84"/>
      <c r="CA75" s="84"/>
      <c r="CB75" s="84"/>
      <c r="CC75" s="84"/>
      <c r="CD75" s="86"/>
      <c r="CE75" s="84"/>
      <c r="CF75" s="81"/>
      <c r="CG75" s="53"/>
      <c r="CH75" s="54"/>
      <c r="CI75" s="55"/>
      <c r="CJ75" s="56"/>
      <c r="CK75" s="54"/>
      <c r="CL75" s="57"/>
    </row>
    <row r="76" spans="1:90" ht="26.45" customHeight="1">
      <c r="A76" s="176">
        <v>72</v>
      </c>
      <c r="B76" s="177"/>
      <c r="C76" s="178" t="s">
        <v>269</v>
      </c>
      <c r="D76" s="179"/>
      <c r="E76" s="179"/>
      <c r="F76" s="179"/>
      <c r="G76" s="179"/>
      <c r="H76" s="179"/>
      <c r="I76" s="179"/>
      <c r="J76" s="179"/>
      <c r="K76" s="179"/>
      <c r="L76" s="180"/>
      <c r="M76" s="78"/>
      <c r="N76" s="80"/>
      <c r="O76" s="80"/>
      <c r="P76" s="80"/>
      <c r="Q76" s="80"/>
      <c r="R76" s="78"/>
      <c r="S76" s="80"/>
      <c r="T76" s="80"/>
      <c r="U76" s="80"/>
      <c r="V76" s="78"/>
      <c r="W76" s="80"/>
      <c r="X76" s="80"/>
      <c r="Y76" s="80"/>
      <c r="Z76" s="80"/>
      <c r="AA76" s="80"/>
      <c r="AB76" s="84"/>
      <c r="AC76" s="84">
        <v>1</v>
      </c>
      <c r="AD76" s="84"/>
      <c r="AE76" s="85"/>
      <c r="AF76" s="84"/>
      <c r="AG76" s="84"/>
      <c r="AH76" s="84"/>
      <c r="AI76" s="84">
        <v>1</v>
      </c>
      <c r="AJ76" s="86">
        <v>1</v>
      </c>
      <c r="AK76" s="84">
        <v>1</v>
      </c>
      <c r="AL76" s="84"/>
      <c r="AM76" s="84"/>
      <c r="AN76" s="84"/>
      <c r="AO76" s="86"/>
      <c r="AP76" s="84"/>
      <c r="AQ76" s="84"/>
      <c r="AR76" s="84"/>
      <c r="AS76" s="86"/>
      <c r="AT76" s="84"/>
      <c r="AU76" s="84"/>
      <c r="AV76" s="84"/>
      <c r="AW76" s="84"/>
      <c r="AX76" s="85"/>
      <c r="AY76" s="84"/>
      <c r="AZ76" s="84"/>
      <c r="BA76" s="84"/>
      <c r="BB76" s="85"/>
      <c r="BC76" s="84"/>
      <c r="BD76" s="84"/>
      <c r="BE76" s="84"/>
      <c r="BF76" s="84"/>
      <c r="BG76" s="86"/>
      <c r="BH76" s="84"/>
      <c r="BI76" s="84"/>
      <c r="BJ76" s="84"/>
      <c r="BK76" s="84"/>
      <c r="BL76" s="86"/>
      <c r="BM76" s="84"/>
      <c r="BN76" s="84"/>
      <c r="BO76" s="84"/>
      <c r="BP76" s="86"/>
      <c r="BQ76" s="84"/>
      <c r="BR76" s="84"/>
      <c r="BS76" s="84"/>
      <c r="BT76" s="84"/>
      <c r="BU76" s="85"/>
      <c r="BV76" s="84"/>
      <c r="BW76" s="84"/>
      <c r="BX76" s="84"/>
      <c r="BY76" s="85"/>
      <c r="BZ76" s="84"/>
      <c r="CA76" s="84"/>
      <c r="CB76" s="84"/>
      <c r="CC76" s="84"/>
      <c r="CD76" s="86"/>
      <c r="CE76" s="84"/>
      <c r="CF76" s="81"/>
      <c r="CG76" s="53"/>
      <c r="CH76" s="54"/>
      <c r="CI76" s="55"/>
      <c r="CJ76" s="56"/>
      <c r="CK76" s="54"/>
      <c r="CL76" s="57"/>
    </row>
    <row r="77" spans="1:90" ht="26.45" customHeight="1">
      <c r="A77" s="176">
        <v>73</v>
      </c>
      <c r="B77" s="177"/>
      <c r="C77" s="178" t="s">
        <v>270</v>
      </c>
      <c r="D77" s="179"/>
      <c r="E77" s="179"/>
      <c r="F77" s="179"/>
      <c r="G77" s="179"/>
      <c r="H77" s="179"/>
      <c r="I77" s="179"/>
      <c r="J77" s="179"/>
      <c r="K77" s="179"/>
      <c r="L77" s="180"/>
      <c r="M77" s="78"/>
      <c r="N77" s="80"/>
      <c r="O77" s="80"/>
      <c r="P77" s="80"/>
      <c r="Q77" s="80"/>
      <c r="R77" s="78"/>
      <c r="S77" s="80"/>
      <c r="T77" s="80"/>
      <c r="U77" s="80"/>
      <c r="V77" s="78"/>
      <c r="W77" s="80"/>
      <c r="X77" s="80"/>
      <c r="Y77" s="80"/>
      <c r="Z77" s="80"/>
      <c r="AA77" s="80"/>
      <c r="AB77" s="84"/>
      <c r="AC77" s="84"/>
      <c r="AD77" s="84"/>
      <c r="AE77" s="85"/>
      <c r="AF77" s="84"/>
      <c r="AG77" s="84"/>
      <c r="AH77" s="84"/>
      <c r="AI77" s="84"/>
      <c r="AJ77" s="86"/>
      <c r="AK77" s="84"/>
      <c r="AL77" s="84"/>
      <c r="AM77" s="84"/>
      <c r="AN77" s="84"/>
      <c r="AO77" s="86"/>
      <c r="AP77" s="84"/>
      <c r="AQ77" s="84"/>
      <c r="AR77" s="84"/>
      <c r="AS77" s="86"/>
      <c r="AT77" s="84"/>
      <c r="AU77" s="84"/>
      <c r="AV77" s="84"/>
      <c r="AW77" s="84"/>
      <c r="AX77" s="85"/>
      <c r="AY77" s="84"/>
      <c r="AZ77" s="84"/>
      <c r="BA77" s="84"/>
      <c r="BB77" s="85"/>
      <c r="BC77" s="84"/>
      <c r="BD77" s="84"/>
      <c r="BE77" s="84"/>
      <c r="BF77" s="84"/>
      <c r="BG77" s="86"/>
      <c r="BH77" s="84"/>
      <c r="BI77" s="84"/>
      <c r="BJ77" s="84"/>
      <c r="BK77" s="84"/>
      <c r="BL77" s="86"/>
      <c r="BM77" s="84"/>
      <c r="BN77" s="84"/>
      <c r="BO77" s="84"/>
      <c r="BP77" s="86"/>
      <c r="BQ77" s="84"/>
      <c r="BR77" s="84"/>
      <c r="BS77" s="84"/>
      <c r="BT77" s="84"/>
      <c r="BU77" s="85"/>
      <c r="BV77" s="84"/>
      <c r="BW77" s="84"/>
      <c r="BX77" s="84"/>
      <c r="BY77" s="85"/>
      <c r="BZ77" s="84"/>
      <c r="CA77" s="84"/>
      <c r="CB77" s="84"/>
      <c r="CC77" s="84"/>
      <c r="CD77" s="86"/>
      <c r="CE77" s="84"/>
      <c r="CF77" s="81"/>
      <c r="CG77" s="53"/>
      <c r="CH77" s="54"/>
      <c r="CI77" s="55"/>
      <c r="CJ77" s="56"/>
      <c r="CK77" s="54"/>
      <c r="CL77" s="57"/>
    </row>
    <row r="78" spans="1:90" ht="26.45" customHeight="1">
      <c r="A78" s="176">
        <v>74</v>
      </c>
      <c r="B78" s="177"/>
      <c r="C78" s="178" t="s">
        <v>371</v>
      </c>
      <c r="D78" s="179"/>
      <c r="E78" s="179"/>
      <c r="F78" s="179"/>
      <c r="G78" s="179"/>
      <c r="H78" s="179"/>
      <c r="I78" s="179"/>
      <c r="J78" s="179"/>
      <c r="K78" s="179"/>
      <c r="L78" s="180"/>
      <c r="M78" s="78"/>
      <c r="N78" s="80"/>
      <c r="O78" s="80"/>
      <c r="P78" s="80"/>
      <c r="Q78" s="80"/>
      <c r="R78" s="78"/>
      <c r="S78" s="80"/>
      <c r="T78" s="80"/>
      <c r="U78" s="80"/>
      <c r="V78" s="78"/>
      <c r="W78" s="80"/>
      <c r="X78" s="80"/>
      <c r="Y78" s="80"/>
      <c r="Z78" s="80"/>
      <c r="AA78" s="80"/>
      <c r="AB78" s="84"/>
      <c r="AC78" s="84"/>
      <c r="AD78" s="84"/>
      <c r="AE78" s="85"/>
      <c r="AF78" s="84"/>
      <c r="AG78" s="84"/>
      <c r="AH78" s="84"/>
      <c r="AI78" s="84"/>
      <c r="AJ78" s="86"/>
      <c r="AK78" s="84"/>
      <c r="AL78" s="84"/>
      <c r="AM78" s="84"/>
      <c r="AN78" s="84"/>
      <c r="AO78" s="86"/>
      <c r="AP78" s="84"/>
      <c r="AQ78" s="84"/>
      <c r="AR78" s="84"/>
      <c r="AS78" s="86"/>
      <c r="AT78" s="84"/>
      <c r="AU78" s="84"/>
      <c r="AV78" s="84"/>
      <c r="AW78" s="84"/>
      <c r="AX78" s="85"/>
      <c r="AY78" s="84"/>
      <c r="AZ78" s="84"/>
      <c r="BA78" s="84"/>
      <c r="BB78" s="85"/>
      <c r="BC78" s="84"/>
      <c r="BD78" s="84"/>
      <c r="BE78" s="84"/>
      <c r="BF78" s="84"/>
      <c r="BG78" s="86"/>
      <c r="BH78" s="84"/>
      <c r="BI78" s="84"/>
      <c r="BJ78" s="84"/>
      <c r="BK78" s="84"/>
      <c r="BL78" s="86"/>
      <c r="BM78" s="84"/>
      <c r="BN78" s="84"/>
      <c r="BO78" s="84"/>
      <c r="BP78" s="86"/>
      <c r="BQ78" s="84"/>
      <c r="BR78" s="84"/>
      <c r="BS78" s="84"/>
      <c r="BT78" s="84"/>
      <c r="BU78" s="85"/>
      <c r="BV78" s="84"/>
      <c r="BW78" s="84"/>
      <c r="BX78" s="84"/>
      <c r="BY78" s="85"/>
      <c r="BZ78" s="84"/>
      <c r="CA78" s="84"/>
      <c r="CB78" s="84"/>
      <c r="CC78" s="84"/>
      <c r="CD78" s="86"/>
      <c r="CE78" s="84"/>
      <c r="CF78" s="81"/>
      <c r="CG78" s="53"/>
      <c r="CH78" s="54"/>
      <c r="CI78" s="55"/>
      <c r="CJ78" s="56"/>
      <c r="CK78" s="54"/>
      <c r="CL78" s="57"/>
    </row>
    <row r="79" spans="1:90" ht="26.45" customHeight="1">
      <c r="A79" s="176">
        <v>75</v>
      </c>
      <c r="B79" s="177"/>
      <c r="C79" s="178" t="s">
        <v>271</v>
      </c>
      <c r="D79" s="179"/>
      <c r="E79" s="179"/>
      <c r="F79" s="179"/>
      <c r="G79" s="179"/>
      <c r="H79" s="179"/>
      <c r="I79" s="179"/>
      <c r="J79" s="179"/>
      <c r="K79" s="179"/>
      <c r="L79" s="180"/>
      <c r="M79" s="78"/>
      <c r="N79" s="80"/>
      <c r="O79" s="80"/>
      <c r="P79" s="80"/>
      <c r="Q79" s="80"/>
      <c r="R79" s="78"/>
      <c r="S79" s="80"/>
      <c r="T79" s="80"/>
      <c r="U79" s="80"/>
      <c r="V79" s="78"/>
      <c r="W79" s="80"/>
      <c r="X79" s="80"/>
      <c r="Y79" s="80"/>
      <c r="Z79" s="80"/>
      <c r="AA79" s="80"/>
      <c r="AB79" s="84"/>
      <c r="AC79" s="84"/>
      <c r="AD79" s="84">
        <v>1</v>
      </c>
      <c r="AE79" s="85">
        <v>1</v>
      </c>
      <c r="AF79" s="84"/>
      <c r="AG79" s="84"/>
      <c r="AH79" s="84"/>
      <c r="AI79" s="84">
        <v>1</v>
      </c>
      <c r="AJ79" s="86">
        <v>1</v>
      </c>
      <c r="AK79" s="84">
        <v>1</v>
      </c>
      <c r="AL79" s="84"/>
      <c r="AM79" s="84"/>
      <c r="AN79" s="84"/>
      <c r="AO79" s="86"/>
      <c r="AP79" s="84"/>
      <c r="AQ79" s="84"/>
      <c r="AR79" s="84"/>
      <c r="AS79" s="86"/>
      <c r="AT79" s="84"/>
      <c r="AU79" s="84"/>
      <c r="AV79" s="84"/>
      <c r="AW79" s="84"/>
      <c r="AX79" s="85"/>
      <c r="AY79" s="84"/>
      <c r="AZ79" s="84"/>
      <c r="BA79" s="84"/>
      <c r="BB79" s="85"/>
      <c r="BC79" s="84"/>
      <c r="BD79" s="84"/>
      <c r="BE79" s="84"/>
      <c r="BF79" s="84"/>
      <c r="BG79" s="86"/>
      <c r="BH79" s="84"/>
      <c r="BI79" s="84"/>
      <c r="BJ79" s="84"/>
      <c r="BK79" s="84"/>
      <c r="BL79" s="86"/>
      <c r="BM79" s="84"/>
      <c r="BN79" s="84"/>
      <c r="BO79" s="84"/>
      <c r="BP79" s="86"/>
      <c r="BQ79" s="84"/>
      <c r="BR79" s="84"/>
      <c r="BS79" s="84"/>
      <c r="BT79" s="84"/>
      <c r="BU79" s="85"/>
      <c r="BV79" s="84"/>
      <c r="BW79" s="84"/>
      <c r="BX79" s="84"/>
      <c r="BY79" s="85"/>
      <c r="BZ79" s="84"/>
      <c r="CA79" s="84"/>
      <c r="CB79" s="84"/>
      <c r="CC79" s="84"/>
      <c r="CD79" s="86"/>
      <c r="CE79" s="84"/>
      <c r="CF79" s="81"/>
      <c r="CG79" s="53"/>
      <c r="CH79" s="54"/>
      <c r="CI79" s="55"/>
      <c r="CJ79" s="56"/>
      <c r="CK79" s="54"/>
      <c r="CL79" s="57"/>
    </row>
    <row r="80" spans="1:90" ht="26.45" customHeight="1">
      <c r="A80" s="176">
        <v>76</v>
      </c>
      <c r="B80" s="177"/>
      <c r="C80" s="178" t="s">
        <v>279</v>
      </c>
      <c r="D80" s="179"/>
      <c r="E80" s="179"/>
      <c r="F80" s="179"/>
      <c r="G80" s="179"/>
      <c r="H80" s="179"/>
      <c r="I80" s="179"/>
      <c r="J80" s="179"/>
      <c r="K80" s="179"/>
      <c r="L80" s="180"/>
      <c r="M80" s="78">
        <v>1</v>
      </c>
      <c r="N80" s="80">
        <v>1</v>
      </c>
      <c r="O80" s="80">
        <v>1</v>
      </c>
      <c r="P80" s="80">
        <v>1</v>
      </c>
      <c r="Q80" s="80"/>
      <c r="R80" s="78"/>
      <c r="S80" s="80"/>
      <c r="T80" s="80"/>
      <c r="U80" s="80"/>
      <c r="V80" s="78"/>
      <c r="W80" s="80"/>
      <c r="X80" s="80"/>
      <c r="Y80" s="80"/>
      <c r="Z80" s="80"/>
      <c r="AA80" s="80"/>
      <c r="AB80" s="84"/>
      <c r="AC80" s="84"/>
      <c r="AD80" s="84"/>
      <c r="AE80" s="85"/>
      <c r="AF80" s="84"/>
      <c r="AG80" s="84"/>
      <c r="AH80" s="84"/>
      <c r="AI80" s="84"/>
      <c r="AJ80" s="86"/>
      <c r="AK80" s="84"/>
      <c r="AL80" s="84"/>
      <c r="AM80" s="84"/>
      <c r="AN80" s="84"/>
      <c r="AO80" s="86"/>
      <c r="AP80" s="84"/>
      <c r="AQ80" s="84"/>
      <c r="AR80" s="84"/>
      <c r="AS80" s="86"/>
      <c r="AT80" s="84"/>
      <c r="AU80" s="84"/>
      <c r="AV80" s="84"/>
      <c r="AW80" s="84"/>
      <c r="AX80" s="85"/>
      <c r="AY80" s="84"/>
      <c r="AZ80" s="84"/>
      <c r="BA80" s="84"/>
      <c r="BB80" s="85"/>
      <c r="BC80" s="84"/>
      <c r="BD80" s="84"/>
      <c r="BE80" s="84"/>
      <c r="BF80" s="84"/>
      <c r="BG80" s="86"/>
      <c r="BH80" s="84"/>
      <c r="BI80" s="84"/>
      <c r="BJ80" s="84"/>
      <c r="BK80" s="84"/>
      <c r="BL80" s="86"/>
      <c r="BM80" s="84"/>
      <c r="BN80" s="84"/>
      <c r="BO80" s="84"/>
      <c r="BP80" s="86"/>
      <c r="BQ80" s="84"/>
      <c r="BR80" s="84"/>
      <c r="BS80" s="84"/>
      <c r="BT80" s="84"/>
      <c r="BU80" s="85"/>
      <c r="BV80" s="84"/>
      <c r="BW80" s="84"/>
      <c r="BX80" s="84"/>
      <c r="BY80" s="85"/>
      <c r="BZ80" s="84"/>
      <c r="CA80" s="84"/>
      <c r="CB80" s="84"/>
      <c r="CC80" s="84"/>
      <c r="CD80" s="86"/>
      <c r="CE80" s="84"/>
      <c r="CF80" s="81"/>
      <c r="CG80" s="53"/>
      <c r="CH80" s="54"/>
      <c r="CI80" s="55"/>
      <c r="CJ80" s="56"/>
      <c r="CK80" s="54"/>
      <c r="CL80" s="57"/>
    </row>
    <row r="81" spans="1:90" ht="26.45" customHeight="1">
      <c r="A81" s="176">
        <v>77</v>
      </c>
      <c r="B81" s="177"/>
      <c r="C81" s="178" t="s">
        <v>280</v>
      </c>
      <c r="D81" s="179"/>
      <c r="E81" s="179"/>
      <c r="F81" s="179"/>
      <c r="G81" s="179"/>
      <c r="H81" s="179"/>
      <c r="I81" s="179"/>
      <c r="J81" s="179"/>
      <c r="K81" s="179"/>
      <c r="L81" s="180"/>
      <c r="M81" s="78"/>
      <c r="N81" s="80"/>
      <c r="O81" s="80"/>
      <c r="P81" s="80"/>
      <c r="Q81" s="80"/>
      <c r="R81" s="78"/>
      <c r="S81" s="80"/>
      <c r="T81" s="80"/>
      <c r="U81" s="80"/>
      <c r="V81" s="78"/>
      <c r="W81" s="80"/>
      <c r="X81" s="80"/>
      <c r="Y81" s="80"/>
      <c r="Z81" s="80"/>
      <c r="AA81" s="80"/>
      <c r="AB81" s="84"/>
      <c r="AC81" s="84"/>
      <c r="AD81" s="84"/>
      <c r="AE81" s="85"/>
      <c r="AF81" s="84"/>
      <c r="AG81" s="84"/>
      <c r="AH81" s="84"/>
      <c r="AI81" s="84"/>
      <c r="AJ81" s="86"/>
      <c r="AK81" s="84"/>
      <c r="AL81" s="84"/>
      <c r="AM81" s="84"/>
      <c r="AN81" s="84"/>
      <c r="AO81" s="86"/>
      <c r="AP81" s="84"/>
      <c r="AQ81" s="84"/>
      <c r="AR81" s="84"/>
      <c r="AS81" s="86"/>
      <c r="AT81" s="84"/>
      <c r="AU81" s="84"/>
      <c r="AV81" s="84"/>
      <c r="AW81" s="84"/>
      <c r="AX81" s="85"/>
      <c r="AY81" s="84"/>
      <c r="AZ81" s="84"/>
      <c r="BA81" s="84"/>
      <c r="BB81" s="85"/>
      <c r="BC81" s="84"/>
      <c r="BD81" s="84"/>
      <c r="BE81" s="84"/>
      <c r="BF81" s="84"/>
      <c r="BG81" s="86"/>
      <c r="BH81" s="84"/>
      <c r="BI81" s="84"/>
      <c r="BJ81" s="84"/>
      <c r="BK81" s="84"/>
      <c r="BL81" s="86"/>
      <c r="BM81" s="84"/>
      <c r="BN81" s="84"/>
      <c r="BO81" s="84"/>
      <c r="BP81" s="86"/>
      <c r="BQ81" s="84"/>
      <c r="BR81" s="84"/>
      <c r="BS81" s="84"/>
      <c r="BT81" s="84"/>
      <c r="BU81" s="85"/>
      <c r="BV81" s="84"/>
      <c r="BW81" s="84"/>
      <c r="BX81" s="84"/>
      <c r="BY81" s="85"/>
      <c r="BZ81" s="84"/>
      <c r="CA81" s="84"/>
      <c r="CB81" s="84"/>
      <c r="CC81" s="84"/>
      <c r="CD81" s="86"/>
      <c r="CE81" s="84"/>
      <c r="CF81" s="81"/>
      <c r="CG81" s="53"/>
      <c r="CH81" s="54"/>
      <c r="CI81" s="55"/>
      <c r="CJ81" s="56"/>
      <c r="CK81" s="54"/>
      <c r="CL81" s="57"/>
    </row>
    <row r="82" spans="1:90" ht="26.45" customHeight="1">
      <c r="A82" s="176">
        <v>78</v>
      </c>
      <c r="B82" s="177"/>
      <c r="C82" s="178" t="s">
        <v>281</v>
      </c>
      <c r="D82" s="179"/>
      <c r="E82" s="179"/>
      <c r="F82" s="179"/>
      <c r="G82" s="179"/>
      <c r="H82" s="179"/>
      <c r="I82" s="179"/>
      <c r="J82" s="179"/>
      <c r="K82" s="179"/>
      <c r="L82" s="180"/>
      <c r="M82" s="78"/>
      <c r="N82" s="80"/>
      <c r="O82" s="80"/>
      <c r="P82" s="80"/>
      <c r="Q82" s="80"/>
      <c r="R82" s="78"/>
      <c r="S82" s="80"/>
      <c r="T82" s="80"/>
      <c r="U82" s="80"/>
      <c r="V82" s="78"/>
      <c r="W82" s="80"/>
      <c r="X82" s="80"/>
      <c r="Y82" s="80"/>
      <c r="Z82" s="80"/>
      <c r="AA82" s="80"/>
      <c r="AB82" s="84"/>
      <c r="AC82" s="84"/>
      <c r="AD82" s="84"/>
      <c r="AE82" s="85"/>
      <c r="AF82" s="84"/>
      <c r="AG82" s="84"/>
      <c r="AH82" s="84">
        <v>1</v>
      </c>
      <c r="AI82" s="84">
        <v>1</v>
      </c>
      <c r="AJ82" s="86">
        <v>1</v>
      </c>
      <c r="AK82" s="84">
        <v>1</v>
      </c>
      <c r="AL82" s="84"/>
      <c r="AM82" s="84"/>
      <c r="AN82" s="84"/>
      <c r="AO82" s="86"/>
      <c r="AP82" s="84"/>
      <c r="AQ82" s="84"/>
      <c r="AR82" s="84"/>
      <c r="AS82" s="86"/>
      <c r="AT82" s="84"/>
      <c r="AU82" s="84"/>
      <c r="AV82" s="84"/>
      <c r="AW82" s="84"/>
      <c r="AX82" s="85"/>
      <c r="AY82" s="84"/>
      <c r="AZ82" s="84"/>
      <c r="BA82" s="84"/>
      <c r="BB82" s="85"/>
      <c r="BC82" s="84"/>
      <c r="BD82" s="84"/>
      <c r="BE82" s="84"/>
      <c r="BF82" s="84"/>
      <c r="BG82" s="86"/>
      <c r="BH82" s="84"/>
      <c r="BI82" s="84"/>
      <c r="BJ82" s="84"/>
      <c r="BK82" s="84"/>
      <c r="BL82" s="86"/>
      <c r="BM82" s="84"/>
      <c r="BN82" s="84"/>
      <c r="BO82" s="84"/>
      <c r="BP82" s="86"/>
      <c r="BQ82" s="84"/>
      <c r="BR82" s="84"/>
      <c r="BS82" s="84"/>
      <c r="BT82" s="84"/>
      <c r="BU82" s="85"/>
      <c r="BV82" s="84"/>
      <c r="BW82" s="84"/>
      <c r="BX82" s="84"/>
      <c r="BY82" s="85"/>
      <c r="BZ82" s="84"/>
      <c r="CA82" s="84"/>
      <c r="CB82" s="84"/>
      <c r="CC82" s="84"/>
      <c r="CD82" s="86"/>
      <c r="CE82" s="84"/>
      <c r="CF82" s="81"/>
      <c r="CG82" s="53"/>
      <c r="CH82" s="54"/>
      <c r="CI82" s="55"/>
      <c r="CJ82" s="56"/>
      <c r="CK82" s="54"/>
      <c r="CL82" s="57"/>
    </row>
    <row r="83" spans="1:90" ht="26.45" customHeight="1">
      <c r="A83" s="176">
        <v>79</v>
      </c>
      <c r="B83" s="177"/>
      <c r="C83" s="178" t="s">
        <v>282</v>
      </c>
      <c r="D83" s="179"/>
      <c r="E83" s="179"/>
      <c r="F83" s="179"/>
      <c r="G83" s="179"/>
      <c r="H83" s="179"/>
      <c r="I83" s="179"/>
      <c r="J83" s="179"/>
      <c r="K83" s="179"/>
      <c r="L83" s="180"/>
      <c r="M83" s="78"/>
      <c r="N83" s="80"/>
      <c r="O83" s="80"/>
      <c r="P83" s="80"/>
      <c r="Q83" s="80"/>
      <c r="R83" s="78"/>
      <c r="S83" s="80"/>
      <c r="T83" s="80"/>
      <c r="U83" s="80"/>
      <c r="V83" s="78"/>
      <c r="W83" s="80"/>
      <c r="X83" s="80"/>
      <c r="Y83" s="80"/>
      <c r="Z83" s="80"/>
      <c r="AA83" s="80"/>
      <c r="AB83" s="84"/>
      <c r="AC83" s="84"/>
      <c r="AD83" s="84"/>
      <c r="AE83" s="85"/>
      <c r="AF83" s="84"/>
      <c r="AG83" s="84"/>
      <c r="AH83" s="84"/>
      <c r="AI83" s="84"/>
      <c r="AJ83" s="86"/>
      <c r="AK83" s="84"/>
      <c r="AL83" s="84"/>
      <c r="AM83" s="84"/>
      <c r="AN83" s="84"/>
      <c r="AO83" s="86"/>
      <c r="AP83" s="84"/>
      <c r="AQ83" s="84"/>
      <c r="AR83" s="84"/>
      <c r="AS83" s="86"/>
      <c r="AT83" s="84"/>
      <c r="AU83" s="84"/>
      <c r="AV83" s="84"/>
      <c r="AW83" s="84"/>
      <c r="AX83" s="85"/>
      <c r="AY83" s="84"/>
      <c r="AZ83" s="84"/>
      <c r="BA83" s="84"/>
      <c r="BB83" s="85"/>
      <c r="BC83" s="84"/>
      <c r="BD83" s="84"/>
      <c r="BE83" s="84"/>
      <c r="BF83" s="84"/>
      <c r="BG83" s="86"/>
      <c r="BH83" s="84"/>
      <c r="BI83" s="84"/>
      <c r="BJ83" s="84"/>
      <c r="BK83" s="84"/>
      <c r="BL83" s="86"/>
      <c r="BM83" s="84"/>
      <c r="BN83" s="84"/>
      <c r="BO83" s="84"/>
      <c r="BP83" s="86"/>
      <c r="BQ83" s="84"/>
      <c r="BR83" s="84"/>
      <c r="BS83" s="84"/>
      <c r="BT83" s="84"/>
      <c r="BU83" s="85"/>
      <c r="BV83" s="84"/>
      <c r="BW83" s="84"/>
      <c r="BX83" s="84"/>
      <c r="BY83" s="85"/>
      <c r="BZ83" s="84"/>
      <c r="CA83" s="84"/>
      <c r="CB83" s="84"/>
      <c r="CC83" s="84"/>
      <c r="CD83" s="86"/>
      <c r="CE83" s="84"/>
      <c r="CF83" s="81"/>
      <c r="CG83" s="53"/>
      <c r="CH83" s="54"/>
      <c r="CI83" s="55"/>
      <c r="CJ83" s="56"/>
      <c r="CK83" s="54"/>
      <c r="CL83" s="57"/>
    </row>
    <row r="84" spans="1:90" ht="26.45" customHeight="1">
      <c r="A84" s="176">
        <v>80</v>
      </c>
      <c r="B84" s="177"/>
      <c r="C84" s="178" t="s">
        <v>283</v>
      </c>
      <c r="D84" s="179"/>
      <c r="E84" s="179"/>
      <c r="F84" s="179"/>
      <c r="G84" s="179"/>
      <c r="H84" s="179"/>
      <c r="I84" s="179"/>
      <c r="J84" s="179"/>
      <c r="K84" s="179"/>
      <c r="L84" s="180"/>
      <c r="M84" s="78"/>
      <c r="N84" s="80"/>
      <c r="O84" s="80"/>
      <c r="P84" s="80"/>
      <c r="Q84" s="80"/>
      <c r="R84" s="78"/>
      <c r="S84" s="80"/>
      <c r="T84" s="80"/>
      <c r="U84" s="80"/>
      <c r="V84" s="78"/>
      <c r="W84" s="80"/>
      <c r="X84" s="80"/>
      <c r="Y84" s="80"/>
      <c r="Z84" s="80"/>
      <c r="AA84" s="80"/>
      <c r="AB84" s="84"/>
      <c r="AC84" s="84"/>
      <c r="AD84" s="84"/>
      <c r="AE84" s="85"/>
      <c r="AF84" s="84"/>
      <c r="AG84" s="84"/>
      <c r="AH84" s="84"/>
      <c r="AI84" s="84"/>
      <c r="AJ84" s="86"/>
      <c r="AK84" s="84"/>
      <c r="AL84" s="84"/>
      <c r="AM84" s="84"/>
      <c r="AN84" s="84"/>
      <c r="AO84" s="86"/>
      <c r="AP84" s="84"/>
      <c r="AQ84" s="84"/>
      <c r="AR84" s="84"/>
      <c r="AS84" s="86"/>
      <c r="AT84" s="84"/>
      <c r="AU84" s="84"/>
      <c r="AV84" s="84"/>
      <c r="AW84" s="84"/>
      <c r="AX84" s="85"/>
      <c r="AY84" s="84"/>
      <c r="AZ84" s="84"/>
      <c r="BA84" s="84"/>
      <c r="BB84" s="85"/>
      <c r="BC84" s="84"/>
      <c r="BD84" s="84"/>
      <c r="BE84" s="84"/>
      <c r="BF84" s="84"/>
      <c r="BG84" s="86"/>
      <c r="BH84" s="84"/>
      <c r="BI84" s="84"/>
      <c r="BJ84" s="84"/>
      <c r="BK84" s="84"/>
      <c r="BL84" s="86"/>
      <c r="BM84" s="84"/>
      <c r="BN84" s="84"/>
      <c r="BO84" s="84"/>
      <c r="BP84" s="86"/>
      <c r="BQ84" s="84"/>
      <c r="BR84" s="84"/>
      <c r="BS84" s="84"/>
      <c r="BT84" s="84"/>
      <c r="BU84" s="85"/>
      <c r="BV84" s="84"/>
      <c r="BW84" s="84"/>
      <c r="BX84" s="84"/>
      <c r="BY84" s="85"/>
      <c r="BZ84" s="84"/>
      <c r="CA84" s="84"/>
      <c r="CB84" s="84"/>
      <c r="CC84" s="84"/>
      <c r="CD84" s="86"/>
      <c r="CE84" s="84"/>
      <c r="CF84" s="81"/>
      <c r="CG84" s="53"/>
      <c r="CH84" s="54"/>
      <c r="CI84" s="55"/>
      <c r="CJ84" s="56"/>
      <c r="CK84" s="54"/>
      <c r="CL84" s="57"/>
    </row>
    <row r="85" spans="1:90" ht="26.45" customHeight="1">
      <c r="A85" s="176">
        <v>81</v>
      </c>
      <c r="B85" s="177"/>
      <c r="C85" s="178" t="s">
        <v>284</v>
      </c>
      <c r="D85" s="179"/>
      <c r="E85" s="179"/>
      <c r="F85" s="179"/>
      <c r="G85" s="179"/>
      <c r="H85" s="179"/>
      <c r="I85" s="179"/>
      <c r="J85" s="179"/>
      <c r="K85" s="179"/>
      <c r="L85" s="180"/>
      <c r="M85" s="78"/>
      <c r="N85" s="80"/>
      <c r="O85" s="80"/>
      <c r="P85" s="80"/>
      <c r="Q85" s="80"/>
      <c r="R85" s="78"/>
      <c r="S85" s="80"/>
      <c r="T85" s="80"/>
      <c r="U85" s="80"/>
      <c r="V85" s="78"/>
      <c r="W85" s="80"/>
      <c r="X85" s="80"/>
      <c r="Y85" s="80"/>
      <c r="Z85" s="80"/>
      <c r="AA85" s="80"/>
      <c r="AB85" s="84"/>
      <c r="AC85" s="84"/>
      <c r="AD85" s="84"/>
      <c r="AE85" s="85"/>
      <c r="AF85" s="84"/>
      <c r="AG85" s="84"/>
      <c r="AH85" s="84"/>
      <c r="AI85" s="84"/>
      <c r="AJ85" s="86"/>
      <c r="AK85" s="84"/>
      <c r="AL85" s="84"/>
      <c r="AM85" s="84"/>
      <c r="AN85" s="84"/>
      <c r="AO85" s="86"/>
      <c r="AP85" s="84"/>
      <c r="AQ85" s="84"/>
      <c r="AR85" s="84"/>
      <c r="AS85" s="86"/>
      <c r="AT85" s="84"/>
      <c r="AU85" s="84"/>
      <c r="AV85" s="84"/>
      <c r="AW85" s="84"/>
      <c r="AX85" s="85"/>
      <c r="AY85" s="84"/>
      <c r="AZ85" s="84"/>
      <c r="BA85" s="84"/>
      <c r="BB85" s="85"/>
      <c r="BC85" s="84"/>
      <c r="BD85" s="84"/>
      <c r="BE85" s="84"/>
      <c r="BF85" s="84"/>
      <c r="BG85" s="86"/>
      <c r="BH85" s="84"/>
      <c r="BI85" s="84"/>
      <c r="BJ85" s="84"/>
      <c r="BK85" s="84"/>
      <c r="BL85" s="86"/>
      <c r="BM85" s="84"/>
      <c r="BN85" s="84"/>
      <c r="BO85" s="84"/>
      <c r="BP85" s="86"/>
      <c r="BQ85" s="84"/>
      <c r="BR85" s="84"/>
      <c r="BS85" s="84"/>
      <c r="BT85" s="84"/>
      <c r="BU85" s="85"/>
      <c r="BV85" s="84"/>
      <c r="BW85" s="84"/>
      <c r="BX85" s="84"/>
      <c r="BY85" s="85"/>
      <c r="BZ85" s="84"/>
      <c r="CA85" s="84"/>
      <c r="CB85" s="84"/>
      <c r="CC85" s="84"/>
      <c r="CD85" s="86"/>
      <c r="CE85" s="84"/>
      <c r="CF85" s="81"/>
      <c r="CG85" s="53"/>
      <c r="CH85" s="54"/>
      <c r="CI85" s="55"/>
      <c r="CJ85" s="56"/>
      <c r="CK85" s="54"/>
      <c r="CL85" s="57"/>
    </row>
    <row r="86" spans="1:90" ht="26.45" customHeight="1">
      <c r="A86" s="176">
        <v>82</v>
      </c>
      <c r="B86" s="177"/>
      <c r="C86" s="178" t="s">
        <v>285</v>
      </c>
      <c r="D86" s="179"/>
      <c r="E86" s="179"/>
      <c r="F86" s="179"/>
      <c r="G86" s="179"/>
      <c r="H86" s="179"/>
      <c r="I86" s="179"/>
      <c r="J86" s="179"/>
      <c r="K86" s="179"/>
      <c r="L86" s="180"/>
      <c r="M86" s="78"/>
      <c r="N86" s="80"/>
      <c r="O86" s="80"/>
      <c r="P86" s="80"/>
      <c r="Q86" s="80"/>
      <c r="R86" s="78"/>
      <c r="S86" s="80"/>
      <c r="T86" s="80"/>
      <c r="U86" s="80"/>
      <c r="V86" s="78"/>
      <c r="W86" s="80"/>
      <c r="X86" s="80">
        <v>1</v>
      </c>
      <c r="Y86" s="80"/>
      <c r="Z86" s="80"/>
      <c r="AA86" s="80"/>
      <c r="AB86" s="84"/>
      <c r="AC86" s="84"/>
      <c r="AD86" s="84"/>
      <c r="AE86" s="85"/>
      <c r="AF86" s="84"/>
      <c r="AG86" s="84"/>
      <c r="AH86" s="84"/>
      <c r="AI86" s="84"/>
      <c r="AJ86" s="86"/>
      <c r="AK86" s="84"/>
      <c r="AL86" s="84"/>
      <c r="AM86" s="84"/>
      <c r="AN86" s="84"/>
      <c r="AO86" s="86"/>
      <c r="AP86" s="84"/>
      <c r="AQ86" s="84"/>
      <c r="AR86" s="84"/>
      <c r="AS86" s="86"/>
      <c r="AT86" s="84"/>
      <c r="AU86" s="84"/>
      <c r="AV86" s="84"/>
      <c r="AW86" s="84"/>
      <c r="AX86" s="85"/>
      <c r="AY86" s="84"/>
      <c r="AZ86" s="84"/>
      <c r="BA86" s="84"/>
      <c r="BB86" s="85"/>
      <c r="BC86" s="84"/>
      <c r="BD86" s="84"/>
      <c r="BE86" s="84"/>
      <c r="BF86" s="84"/>
      <c r="BG86" s="86"/>
      <c r="BH86" s="84"/>
      <c r="BI86" s="84"/>
      <c r="BJ86" s="84"/>
      <c r="BK86" s="84"/>
      <c r="BL86" s="86"/>
      <c r="BM86" s="84"/>
      <c r="BN86" s="84"/>
      <c r="BO86" s="84"/>
      <c r="BP86" s="86"/>
      <c r="BQ86" s="84"/>
      <c r="BR86" s="84"/>
      <c r="BS86" s="84"/>
      <c r="BT86" s="84"/>
      <c r="BU86" s="85"/>
      <c r="BV86" s="84"/>
      <c r="BW86" s="84"/>
      <c r="BX86" s="84"/>
      <c r="BY86" s="85"/>
      <c r="BZ86" s="84"/>
      <c r="CA86" s="84"/>
      <c r="CB86" s="84"/>
      <c r="CC86" s="84"/>
      <c r="CD86" s="86"/>
      <c r="CE86" s="84"/>
      <c r="CF86" s="81"/>
      <c r="CG86" s="53"/>
      <c r="CH86" s="54"/>
      <c r="CI86" s="55"/>
      <c r="CJ86" s="56"/>
      <c r="CK86" s="54"/>
      <c r="CL86" s="57"/>
    </row>
    <row r="87" spans="1:90" ht="26.45" customHeight="1">
      <c r="A87" s="176">
        <v>83</v>
      </c>
      <c r="B87" s="177"/>
      <c r="C87" s="67" t="s">
        <v>286</v>
      </c>
      <c r="D87" s="65"/>
      <c r="E87" s="65"/>
      <c r="F87" s="65"/>
      <c r="G87" s="65"/>
      <c r="H87" s="65"/>
      <c r="I87" s="65"/>
      <c r="J87" s="65"/>
      <c r="K87" s="65"/>
      <c r="L87" s="66"/>
      <c r="M87" s="78"/>
      <c r="N87" s="80"/>
      <c r="O87" s="80"/>
      <c r="P87" s="80"/>
      <c r="Q87" s="80"/>
      <c r="R87" s="78"/>
      <c r="S87" s="80"/>
      <c r="T87" s="80"/>
      <c r="U87" s="80"/>
      <c r="V87" s="78"/>
      <c r="W87" s="80"/>
      <c r="X87" s="80"/>
      <c r="Y87" s="80"/>
      <c r="Z87" s="80"/>
      <c r="AA87" s="80"/>
      <c r="AB87" s="84"/>
      <c r="AC87" s="84"/>
      <c r="AD87" s="84"/>
      <c r="AE87" s="85"/>
      <c r="AF87" s="84"/>
      <c r="AG87" s="84"/>
      <c r="AH87" s="84"/>
      <c r="AI87" s="84"/>
      <c r="AJ87" s="86"/>
      <c r="AK87" s="84"/>
      <c r="AL87" s="84"/>
      <c r="AM87" s="84"/>
      <c r="AN87" s="84"/>
      <c r="AO87" s="86"/>
      <c r="AP87" s="84"/>
      <c r="AQ87" s="84"/>
      <c r="AR87" s="84"/>
      <c r="AS87" s="86"/>
      <c r="AT87" s="84"/>
      <c r="AU87" s="84"/>
      <c r="AV87" s="84"/>
      <c r="AW87" s="84"/>
      <c r="AX87" s="85"/>
      <c r="AY87" s="84"/>
      <c r="AZ87" s="84"/>
      <c r="BA87" s="84"/>
      <c r="BB87" s="85"/>
      <c r="BC87" s="84"/>
      <c r="BD87" s="84"/>
      <c r="BE87" s="84"/>
      <c r="BF87" s="84"/>
      <c r="BG87" s="86"/>
      <c r="BH87" s="84"/>
      <c r="BI87" s="84"/>
      <c r="BJ87" s="84"/>
      <c r="BK87" s="84"/>
      <c r="BL87" s="86"/>
      <c r="BM87" s="84"/>
      <c r="BN87" s="84"/>
      <c r="BO87" s="84"/>
      <c r="BP87" s="86"/>
      <c r="BQ87" s="84"/>
      <c r="BR87" s="84"/>
      <c r="BS87" s="84"/>
      <c r="BT87" s="84"/>
      <c r="BU87" s="85"/>
      <c r="BV87" s="84"/>
      <c r="BW87" s="84"/>
      <c r="BX87" s="84"/>
      <c r="BY87" s="85"/>
      <c r="BZ87" s="84"/>
      <c r="CA87" s="84"/>
      <c r="CB87" s="84"/>
      <c r="CC87" s="84"/>
      <c r="CD87" s="86"/>
      <c r="CE87" s="84"/>
      <c r="CF87" s="81"/>
      <c r="CG87" s="53"/>
      <c r="CH87" s="54"/>
      <c r="CI87" s="55"/>
      <c r="CJ87" s="56"/>
      <c r="CK87" s="54"/>
      <c r="CL87" s="57"/>
    </row>
    <row r="88" spans="1:90" ht="26.45" customHeight="1">
      <c r="A88" s="176">
        <v>84</v>
      </c>
      <c r="B88" s="177"/>
      <c r="C88" s="178" t="s">
        <v>287</v>
      </c>
      <c r="D88" s="179"/>
      <c r="E88" s="179"/>
      <c r="F88" s="179"/>
      <c r="G88" s="179"/>
      <c r="H88" s="179"/>
      <c r="I88" s="179"/>
      <c r="J88" s="179"/>
      <c r="K88" s="179"/>
      <c r="L88" s="180"/>
      <c r="M88" s="78"/>
      <c r="N88" s="80"/>
      <c r="O88" s="80"/>
      <c r="P88" s="80"/>
      <c r="Q88" s="80"/>
      <c r="R88" s="78"/>
      <c r="S88" s="80"/>
      <c r="T88" s="80"/>
      <c r="U88" s="80"/>
      <c r="V88" s="78"/>
      <c r="W88" s="80"/>
      <c r="X88" s="80"/>
      <c r="Y88" s="80"/>
      <c r="Z88" s="80"/>
      <c r="AA88" s="80"/>
      <c r="AB88" s="84"/>
      <c r="AC88" s="84"/>
      <c r="AD88" s="84"/>
      <c r="AE88" s="85"/>
      <c r="AF88" s="84"/>
      <c r="AG88" s="84"/>
      <c r="AH88" s="84"/>
      <c r="AI88" s="84"/>
      <c r="AJ88" s="86"/>
      <c r="AK88" s="84"/>
      <c r="AL88" s="84"/>
      <c r="AM88" s="84"/>
      <c r="AN88" s="84"/>
      <c r="AO88" s="86"/>
      <c r="AP88" s="84"/>
      <c r="AQ88" s="84"/>
      <c r="AR88" s="84"/>
      <c r="AS88" s="86"/>
      <c r="AT88" s="84"/>
      <c r="AU88" s="84"/>
      <c r="AV88" s="84"/>
      <c r="AW88" s="84"/>
      <c r="AX88" s="85"/>
      <c r="AY88" s="84"/>
      <c r="AZ88" s="84"/>
      <c r="BA88" s="84"/>
      <c r="BB88" s="85"/>
      <c r="BC88" s="84"/>
      <c r="BD88" s="84"/>
      <c r="BE88" s="84"/>
      <c r="BF88" s="84"/>
      <c r="BG88" s="86"/>
      <c r="BH88" s="84"/>
      <c r="BI88" s="84"/>
      <c r="BJ88" s="84"/>
      <c r="BK88" s="84"/>
      <c r="BL88" s="86"/>
      <c r="BM88" s="84"/>
      <c r="BN88" s="84"/>
      <c r="BO88" s="84"/>
      <c r="BP88" s="86"/>
      <c r="BQ88" s="84"/>
      <c r="BR88" s="84"/>
      <c r="BS88" s="84"/>
      <c r="BT88" s="84"/>
      <c r="BU88" s="85"/>
      <c r="BV88" s="84"/>
      <c r="BW88" s="84"/>
      <c r="BX88" s="84"/>
      <c r="BY88" s="85"/>
      <c r="BZ88" s="84"/>
      <c r="CA88" s="84"/>
      <c r="CB88" s="84"/>
      <c r="CC88" s="84"/>
      <c r="CD88" s="86"/>
      <c r="CE88" s="84"/>
      <c r="CF88" s="81"/>
      <c r="CG88" s="53"/>
      <c r="CH88" s="54"/>
      <c r="CI88" s="55"/>
      <c r="CJ88" s="56"/>
      <c r="CK88" s="54"/>
      <c r="CL88" s="57"/>
    </row>
    <row r="89" spans="1:90" ht="26.45" customHeight="1">
      <c r="A89" s="176">
        <v>85</v>
      </c>
      <c r="B89" s="177"/>
      <c r="C89" s="178" t="s">
        <v>288</v>
      </c>
      <c r="D89" s="179"/>
      <c r="E89" s="179"/>
      <c r="F89" s="179"/>
      <c r="G89" s="179"/>
      <c r="H89" s="179"/>
      <c r="I89" s="179"/>
      <c r="J89" s="179"/>
      <c r="K89" s="179"/>
      <c r="L89" s="180"/>
      <c r="M89" s="78"/>
      <c r="N89" s="80"/>
      <c r="O89" s="80"/>
      <c r="P89" s="80"/>
      <c r="Q89" s="80"/>
      <c r="R89" s="78"/>
      <c r="S89" s="80"/>
      <c r="T89" s="80"/>
      <c r="U89" s="80"/>
      <c r="V89" s="78"/>
      <c r="W89" s="80"/>
      <c r="X89" s="80"/>
      <c r="Y89" s="80"/>
      <c r="Z89" s="80"/>
      <c r="AA89" s="80"/>
      <c r="AB89" s="84"/>
      <c r="AC89" s="84"/>
      <c r="AD89" s="84"/>
      <c r="AE89" s="85"/>
      <c r="AF89" s="84"/>
      <c r="AG89" s="84"/>
      <c r="AH89" s="84"/>
      <c r="AI89" s="84"/>
      <c r="AJ89" s="86"/>
      <c r="AK89" s="84"/>
      <c r="AL89" s="84"/>
      <c r="AM89" s="84"/>
      <c r="AN89" s="84"/>
      <c r="AO89" s="86"/>
      <c r="AP89" s="84"/>
      <c r="AQ89" s="84"/>
      <c r="AR89" s="84"/>
      <c r="AS89" s="86"/>
      <c r="AT89" s="84"/>
      <c r="AU89" s="84"/>
      <c r="AV89" s="84"/>
      <c r="AW89" s="84"/>
      <c r="AX89" s="85"/>
      <c r="AY89" s="84"/>
      <c r="AZ89" s="84"/>
      <c r="BA89" s="84"/>
      <c r="BB89" s="85"/>
      <c r="BC89" s="84"/>
      <c r="BD89" s="84"/>
      <c r="BE89" s="84"/>
      <c r="BF89" s="84"/>
      <c r="BG89" s="86"/>
      <c r="BH89" s="84"/>
      <c r="BI89" s="84"/>
      <c r="BJ89" s="84"/>
      <c r="BK89" s="84"/>
      <c r="BL89" s="86"/>
      <c r="BM89" s="84"/>
      <c r="BN89" s="84"/>
      <c r="BO89" s="84"/>
      <c r="BP89" s="86"/>
      <c r="BQ89" s="84"/>
      <c r="BR89" s="84"/>
      <c r="BS89" s="84"/>
      <c r="BT89" s="84"/>
      <c r="BU89" s="85"/>
      <c r="BV89" s="84"/>
      <c r="BW89" s="84"/>
      <c r="BX89" s="84"/>
      <c r="BY89" s="85"/>
      <c r="BZ89" s="84"/>
      <c r="CA89" s="84"/>
      <c r="CB89" s="84"/>
      <c r="CC89" s="84"/>
      <c r="CD89" s="86"/>
      <c r="CE89" s="84"/>
      <c r="CF89" s="81"/>
      <c r="CG89" s="53"/>
      <c r="CH89" s="54"/>
      <c r="CI89" s="55"/>
      <c r="CJ89" s="56"/>
      <c r="CK89" s="54"/>
      <c r="CL89" s="57"/>
    </row>
    <row r="90" spans="1:90" ht="26.45" customHeight="1">
      <c r="A90" s="176">
        <v>86</v>
      </c>
      <c r="B90" s="177"/>
      <c r="C90" s="178" t="s">
        <v>289</v>
      </c>
      <c r="D90" s="179"/>
      <c r="E90" s="179"/>
      <c r="F90" s="179"/>
      <c r="G90" s="179"/>
      <c r="H90" s="179"/>
      <c r="I90" s="179"/>
      <c r="J90" s="179"/>
      <c r="K90" s="179"/>
      <c r="L90" s="180"/>
      <c r="M90" s="78"/>
      <c r="N90" s="80"/>
      <c r="O90" s="80"/>
      <c r="P90" s="80"/>
      <c r="Q90" s="80"/>
      <c r="R90" s="78"/>
      <c r="S90" s="80"/>
      <c r="T90" s="80"/>
      <c r="U90" s="80"/>
      <c r="V90" s="78"/>
      <c r="W90" s="80"/>
      <c r="X90" s="80"/>
      <c r="Y90" s="80"/>
      <c r="Z90" s="80"/>
      <c r="AA90" s="80"/>
      <c r="AB90" s="84"/>
      <c r="AC90" s="84"/>
      <c r="AD90" s="84"/>
      <c r="AE90" s="85"/>
      <c r="AF90" s="84"/>
      <c r="AG90" s="84"/>
      <c r="AH90" s="84"/>
      <c r="AI90" s="84"/>
      <c r="AJ90" s="86"/>
      <c r="AK90" s="84"/>
      <c r="AL90" s="84"/>
      <c r="AM90" s="84"/>
      <c r="AN90" s="84"/>
      <c r="AO90" s="86"/>
      <c r="AP90" s="84"/>
      <c r="AQ90" s="84"/>
      <c r="AR90" s="84"/>
      <c r="AS90" s="86"/>
      <c r="AT90" s="84"/>
      <c r="AU90" s="84"/>
      <c r="AV90" s="84"/>
      <c r="AW90" s="84"/>
      <c r="AX90" s="85"/>
      <c r="AY90" s="84"/>
      <c r="AZ90" s="84"/>
      <c r="BA90" s="84"/>
      <c r="BB90" s="85"/>
      <c r="BC90" s="84"/>
      <c r="BD90" s="84"/>
      <c r="BE90" s="84"/>
      <c r="BF90" s="84"/>
      <c r="BG90" s="86"/>
      <c r="BH90" s="84"/>
      <c r="BI90" s="84"/>
      <c r="BJ90" s="84"/>
      <c r="BK90" s="84"/>
      <c r="BL90" s="86"/>
      <c r="BM90" s="84"/>
      <c r="BN90" s="84"/>
      <c r="BO90" s="84"/>
      <c r="BP90" s="86"/>
      <c r="BQ90" s="84"/>
      <c r="BR90" s="84"/>
      <c r="BS90" s="84"/>
      <c r="BT90" s="84"/>
      <c r="BU90" s="85"/>
      <c r="BV90" s="84"/>
      <c r="BW90" s="84"/>
      <c r="BX90" s="84"/>
      <c r="BY90" s="85"/>
      <c r="BZ90" s="84"/>
      <c r="CA90" s="84"/>
      <c r="CB90" s="84"/>
      <c r="CC90" s="84"/>
      <c r="CD90" s="86"/>
      <c r="CE90" s="84"/>
      <c r="CF90" s="81"/>
      <c r="CG90" s="53"/>
      <c r="CH90" s="54"/>
      <c r="CI90" s="55"/>
      <c r="CJ90" s="56"/>
      <c r="CK90" s="54"/>
      <c r="CL90" s="57"/>
    </row>
    <row r="91" spans="1:90" ht="26.45" customHeight="1">
      <c r="A91" s="176">
        <v>87</v>
      </c>
      <c r="B91" s="177"/>
      <c r="C91" s="178" t="s">
        <v>290</v>
      </c>
      <c r="D91" s="179"/>
      <c r="E91" s="179"/>
      <c r="F91" s="179"/>
      <c r="G91" s="179"/>
      <c r="H91" s="179"/>
      <c r="I91" s="179"/>
      <c r="J91" s="179"/>
      <c r="K91" s="179"/>
      <c r="L91" s="180"/>
      <c r="M91" s="78"/>
      <c r="N91" s="80"/>
      <c r="O91" s="80"/>
      <c r="P91" s="80"/>
      <c r="Q91" s="80"/>
      <c r="R91" s="78"/>
      <c r="S91" s="80"/>
      <c r="T91" s="80"/>
      <c r="U91" s="80"/>
      <c r="V91" s="78"/>
      <c r="W91" s="80"/>
      <c r="X91" s="80"/>
      <c r="Y91" s="80"/>
      <c r="Z91" s="80"/>
      <c r="AA91" s="80"/>
      <c r="AB91" s="84"/>
      <c r="AC91" s="84"/>
      <c r="AD91" s="84">
        <v>1</v>
      </c>
      <c r="AE91" s="85">
        <v>1</v>
      </c>
      <c r="AF91" s="84"/>
      <c r="AG91" s="84"/>
      <c r="AH91" s="84"/>
      <c r="AI91" s="84"/>
      <c r="AJ91" s="86"/>
      <c r="AK91" s="84"/>
      <c r="AL91" s="84"/>
      <c r="AM91" s="84"/>
      <c r="AN91" s="84"/>
      <c r="AO91" s="86"/>
      <c r="AP91" s="84"/>
      <c r="AQ91" s="84"/>
      <c r="AR91" s="84"/>
      <c r="AS91" s="86"/>
      <c r="AT91" s="84"/>
      <c r="AU91" s="84"/>
      <c r="AV91" s="84"/>
      <c r="AW91" s="84"/>
      <c r="AX91" s="85"/>
      <c r="AY91" s="84"/>
      <c r="AZ91" s="84"/>
      <c r="BA91" s="84"/>
      <c r="BB91" s="85"/>
      <c r="BC91" s="84"/>
      <c r="BD91" s="84"/>
      <c r="BE91" s="84"/>
      <c r="BF91" s="84"/>
      <c r="BG91" s="86"/>
      <c r="BH91" s="84"/>
      <c r="BI91" s="84"/>
      <c r="BJ91" s="84"/>
      <c r="BK91" s="84"/>
      <c r="BL91" s="86"/>
      <c r="BM91" s="84"/>
      <c r="BN91" s="84"/>
      <c r="BO91" s="84"/>
      <c r="BP91" s="86"/>
      <c r="BQ91" s="84"/>
      <c r="BR91" s="84"/>
      <c r="BS91" s="84"/>
      <c r="BT91" s="84"/>
      <c r="BU91" s="85"/>
      <c r="BV91" s="84"/>
      <c r="BW91" s="84"/>
      <c r="BX91" s="84"/>
      <c r="BY91" s="85"/>
      <c r="BZ91" s="84"/>
      <c r="CA91" s="84"/>
      <c r="CB91" s="84"/>
      <c r="CC91" s="84"/>
      <c r="CD91" s="86"/>
      <c r="CE91" s="84"/>
      <c r="CF91" s="81"/>
      <c r="CG91" s="53"/>
      <c r="CH91" s="54"/>
      <c r="CI91" s="55"/>
      <c r="CJ91" s="56"/>
      <c r="CK91" s="54"/>
      <c r="CL91" s="57"/>
    </row>
    <row r="92" spans="1:90" ht="26.45" customHeight="1">
      <c r="A92" s="176">
        <v>88</v>
      </c>
      <c r="B92" s="177"/>
      <c r="C92" s="178" t="s">
        <v>291</v>
      </c>
      <c r="D92" s="179"/>
      <c r="E92" s="179"/>
      <c r="F92" s="179"/>
      <c r="G92" s="179"/>
      <c r="H92" s="179"/>
      <c r="I92" s="179"/>
      <c r="J92" s="179"/>
      <c r="K92" s="179"/>
      <c r="L92" s="180"/>
      <c r="M92" s="78"/>
      <c r="N92" s="80"/>
      <c r="O92" s="80"/>
      <c r="P92" s="80"/>
      <c r="Q92" s="80"/>
      <c r="R92" s="78"/>
      <c r="S92" s="80"/>
      <c r="T92" s="80"/>
      <c r="U92" s="80"/>
      <c r="V92" s="78"/>
      <c r="W92" s="80"/>
      <c r="X92" s="80"/>
      <c r="Y92" s="80"/>
      <c r="Z92" s="80"/>
      <c r="AA92" s="80"/>
      <c r="AB92" s="84"/>
      <c r="AC92" s="84"/>
      <c r="AD92" s="84"/>
      <c r="AE92" s="85"/>
      <c r="AF92" s="84"/>
      <c r="AG92" s="84"/>
      <c r="AH92" s="84"/>
      <c r="AI92" s="84"/>
      <c r="AJ92" s="86"/>
      <c r="AK92" s="84"/>
      <c r="AL92" s="84"/>
      <c r="AM92" s="84"/>
      <c r="AN92" s="84"/>
      <c r="AO92" s="86"/>
      <c r="AP92" s="84"/>
      <c r="AQ92" s="84"/>
      <c r="AR92" s="84"/>
      <c r="AS92" s="86"/>
      <c r="AT92" s="84"/>
      <c r="AU92" s="84"/>
      <c r="AV92" s="84"/>
      <c r="AW92" s="84"/>
      <c r="AX92" s="85"/>
      <c r="AY92" s="84"/>
      <c r="AZ92" s="84"/>
      <c r="BA92" s="84"/>
      <c r="BB92" s="85"/>
      <c r="BC92" s="84"/>
      <c r="BD92" s="84"/>
      <c r="BE92" s="84"/>
      <c r="BF92" s="84"/>
      <c r="BG92" s="86"/>
      <c r="BH92" s="84"/>
      <c r="BI92" s="84"/>
      <c r="BJ92" s="84"/>
      <c r="BK92" s="84"/>
      <c r="BL92" s="86"/>
      <c r="BM92" s="84"/>
      <c r="BN92" s="84"/>
      <c r="BO92" s="84"/>
      <c r="BP92" s="86"/>
      <c r="BQ92" s="84"/>
      <c r="BR92" s="84"/>
      <c r="BS92" s="84"/>
      <c r="BT92" s="84"/>
      <c r="BU92" s="85"/>
      <c r="BV92" s="84"/>
      <c r="BW92" s="84"/>
      <c r="BX92" s="84"/>
      <c r="BY92" s="85"/>
      <c r="BZ92" s="84"/>
      <c r="CA92" s="84"/>
      <c r="CB92" s="84"/>
      <c r="CC92" s="84"/>
      <c r="CD92" s="86"/>
      <c r="CE92" s="84"/>
      <c r="CF92" s="81"/>
      <c r="CG92" s="53"/>
      <c r="CH92" s="54"/>
      <c r="CI92" s="55"/>
      <c r="CJ92" s="56"/>
      <c r="CK92" s="54"/>
      <c r="CL92" s="57"/>
    </row>
    <row r="93" spans="1:90" ht="26.45" customHeight="1">
      <c r="A93" s="176">
        <v>89</v>
      </c>
      <c r="B93" s="177"/>
      <c r="C93" s="178" t="s">
        <v>294</v>
      </c>
      <c r="D93" s="179"/>
      <c r="E93" s="179"/>
      <c r="F93" s="179"/>
      <c r="G93" s="179"/>
      <c r="H93" s="179"/>
      <c r="I93" s="179"/>
      <c r="J93" s="179"/>
      <c r="K93" s="179"/>
      <c r="L93" s="180"/>
      <c r="M93" s="78"/>
      <c r="N93" s="80"/>
      <c r="O93" s="80"/>
      <c r="P93" s="80"/>
      <c r="Q93" s="80"/>
      <c r="R93" s="78"/>
      <c r="S93" s="80"/>
      <c r="T93" s="80"/>
      <c r="U93" s="80"/>
      <c r="V93" s="78"/>
      <c r="W93" s="80"/>
      <c r="X93" s="80"/>
      <c r="Y93" s="80"/>
      <c r="Z93" s="80"/>
      <c r="AA93" s="80"/>
      <c r="AB93" s="84"/>
      <c r="AC93" s="84"/>
      <c r="AD93" s="84"/>
      <c r="AE93" s="85"/>
      <c r="AF93" s="84"/>
      <c r="AG93" s="84"/>
      <c r="AH93" s="84"/>
      <c r="AI93" s="84"/>
      <c r="AJ93" s="86"/>
      <c r="AK93" s="84"/>
      <c r="AL93" s="84"/>
      <c r="AM93" s="84"/>
      <c r="AN93" s="84"/>
      <c r="AO93" s="86"/>
      <c r="AP93" s="84"/>
      <c r="AQ93" s="84"/>
      <c r="AR93" s="84"/>
      <c r="AS93" s="86"/>
      <c r="AT93" s="84"/>
      <c r="AU93" s="84"/>
      <c r="AV93" s="84"/>
      <c r="AW93" s="84"/>
      <c r="AX93" s="85"/>
      <c r="AY93" s="84"/>
      <c r="AZ93" s="84"/>
      <c r="BA93" s="84"/>
      <c r="BB93" s="85"/>
      <c r="BC93" s="84"/>
      <c r="BD93" s="84"/>
      <c r="BE93" s="84"/>
      <c r="BF93" s="84"/>
      <c r="BG93" s="86"/>
      <c r="BH93" s="84"/>
      <c r="BI93" s="84"/>
      <c r="BJ93" s="84"/>
      <c r="BK93" s="84"/>
      <c r="BL93" s="86"/>
      <c r="BM93" s="84"/>
      <c r="BN93" s="84"/>
      <c r="BO93" s="84"/>
      <c r="BP93" s="86"/>
      <c r="BQ93" s="84"/>
      <c r="BR93" s="84"/>
      <c r="BS93" s="84"/>
      <c r="BT93" s="84"/>
      <c r="BU93" s="85"/>
      <c r="BV93" s="84"/>
      <c r="BW93" s="84"/>
      <c r="BX93" s="84"/>
      <c r="BY93" s="85"/>
      <c r="BZ93" s="84"/>
      <c r="CA93" s="84"/>
      <c r="CB93" s="84"/>
      <c r="CC93" s="84"/>
      <c r="CD93" s="86"/>
      <c r="CE93" s="84"/>
      <c r="CF93" s="81"/>
      <c r="CG93" s="53"/>
      <c r="CH93" s="54"/>
      <c r="CI93" s="55"/>
      <c r="CJ93" s="56"/>
      <c r="CK93" s="54"/>
      <c r="CL93" s="57"/>
    </row>
    <row r="94" spans="1:90" ht="26.45" customHeight="1">
      <c r="A94" s="176">
        <v>90</v>
      </c>
      <c r="B94" s="177"/>
      <c r="C94" s="178" t="s">
        <v>300</v>
      </c>
      <c r="D94" s="179"/>
      <c r="E94" s="179"/>
      <c r="F94" s="179"/>
      <c r="G94" s="179"/>
      <c r="H94" s="179"/>
      <c r="I94" s="179"/>
      <c r="J94" s="179"/>
      <c r="K94" s="179"/>
      <c r="L94" s="180"/>
      <c r="M94" s="78">
        <v>1</v>
      </c>
      <c r="N94" s="80">
        <v>1</v>
      </c>
      <c r="O94" s="80">
        <v>1</v>
      </c>
      <c r="P94" s="80">
        <v>1</v>
      </c>
      <c r="Q94" s="80"/>
      <c r="R94" s="78"/>
      <c r="S94" s="80"/>
      <c r="T94" s="80"/>
      <c r="U94" s="80"/>
      <c r="V94" s="78"/>
      <c r="W94" s="80"/>
      <c r="X94" s="80"/>
      <c r="Y94" s="80"/>
      <c r="Z94" s="80"/>
      <c r="AA94" s="80"/>
      <c r="AB94" s="84"/>
      <c r="AC94" s="84"/>
      <c r="AD94" s="84"/>
      <c r="AE94" s="85"/>
      <c r="AF94" s="84"/>
      <c r="AG94" s="84"/>
      <c r="AH94" s="84"/>
      <c r="AI94" s="84"/>
      <c r="AJ94" s="86"/>
      <c r="AK94" s="84"/>
      <c r="AL94" s="84"/>
      <c r="AM94" s="84"/>
      <c r="AN94" s="84"/>
      <c r="AO94" s="86"/>
      <c r="AP94" s="84"/>
      <c r="AQ94" s="84"/>
      <c r="AR94" s="84"/>
      <c r="AS94" s="86"/>
      <c r="AT94" s="84"/>
      <c r="AU94" s="84"/>
      <c r="AV94" s="84"/>
      <c r="AW94" s="84"/>
      <c r="AX94" s="85"/>
      <c r="AY94" s="84"/>
      <c r="AZ94" s="84"/>
      <c r="BA94" s="84"/>
      <c r="BB94" s="85"/>
      <c r="BC94" s="84"/>
      <c r="BD94" s="84"/>
      <c r="BE94" s="84"/>
      <c r="BF94" s="84"/>
      <c r="BG94" s="86"/>
      <c r="BH94" s="84"/>
      <c r="BI94" s="84"/>
      <c r="BJ94" s="84"/>
      <c r="BK94" s="84"/>
      <c r="BL94" s="86"/>
      <c r="BM94" s="84"/>
      <c r="BN94" s="84"/>
      <c r="BO94" s="84"/>
      <c r="BP94" s="86"/>
      <c r="BQ94" s="84"/>
      <c r="BR94" s="84"/>
      <c r="BS94" s="84"/>
      <c r="BT94" s="84"/>
      <c r="BU94" s="85"/>
      <c r="BV94" s="84"/>
      <c r="BW94" s="84"/>
      <c r="BX94" s="84"/>
      <c r="BY94" s="85"/>
      <c r="BZ94" s="84"/>
      <c r="CA94" s="84"/>
      <c r="CB94" s="84"/>
      <c r="CC94" s="84"/>
      <c r="CD94" s="86"/>
      <c r="CE94" s="84"/>
      <c r="CF94" s="81"/>
      <c r="CG94" s="53"/>
      <c r="CH94" s="54"/>
      <c r="CI94" s="55"/>
      <c r="CJ94" s="56"/>
      <c r="CK94" s="54"/>
      <c r="CL94" s="57"/>
    </row>
    <row r="95" spans="1:90" ht="26.45" customHeight="1">
      <c r="A95" s="176">
        <v>91</v>
      </c>
      <c r="B95" s="177"/>
      <c r="C95" s="178" t="s">
        <v>301</v>
      </c>
      <c r="D95" s="179"/>
      <c r="E95" s="179"/>
      <c r="F95" s="179"/>
      <c r="G95" s="179"/>
      <c r="H95" s="179"/>
      <c r="I95" s="179"/>
      <c r="J95" s="179"/>
      <c r="K95" s="179"/>
      <c r="L95" s="180"/>
      <c r="M95" s="78"/>
      <c r="N95" s="80"/>
      <c r="O95" s="80"/>
      <c r="P95" s="80"/>
      <c r="Q95" s="80"/>
      <c r="R95" s="78"/>
      <c r="S95" s="80"/>
      <c r="T95" s="80"/>
      <c r="U95" s="80"/>
      <c r="V95" s="78"/>
      <c r="W95" s="80"/>
      <c r="X95" s="80"/>
      <c r="Y95" s="80"/>
      <c r="Z95" s="80"/>
      <c r="AA95" s="80"/>
      <c r="AB95" s="84"/>
      <c r="AC95" s="84"/>
      <c r="AD95" s="84"/>
      <c r="AE95" s="85"/>
      <c r="AF95" s="84"/>
      <c r="AG95" s="84"/>
      <c r="AH95" s="84"/>
      <c r="AI95" s="84"/>
      <c r="AJ95" s="86"/>
      <c r="AK95" s="84"/>
      <c r="AL95" s="84"/>
      <c r="AM95" s="84"/>
      <c r="AN95" s="84"/>
      <c r="AO95" s="86"/>
      <c r="AP95" s="84"/>
      <c r="AQ95" s="84"/>
      <c r="AR95" s="84"/>
      <c r="AS95" s="86"/>
      <c r="AT95" s="84"/>
      <c r="AU95" s="84"/>
      <c r="AV95" s="84"/>
      <c r="AW95" s="84"/>
      <c r="AX95" s="85"/>
      <c r="AY95" s="84"/>
      <c r="AZ95" s="84"/>
      <c r="BA95" s="84"/>
      <c r="BB95" s="85"/>
      <c r="BC95" s="84"/>
      <c r="BD95" s="84"/>
      <c r="BE95" s="84"/>
      <c r="BF95" s="84"/>
      <c r="BG95" s="86"/>
      <c r="BH95" s="84"/>
      <c r="BI95" s="84"/>
      <c r="BJ95" s="84"/>
      <c r="BK95" s="84"/>
      <c r="BL95" s="86"/>
      <c r="BM95" s="84"/>
      <c r="BN95" s="84"/>
      <c r="BO95" s="84"/>
      <c r="BP95" s="86"/>
      <c r="BQ95" s="84"/>
      <c r="BR95" s="84"/>
      <c r="BS95" s="84"/>
      <c r="BT95" s="84"/>
      <c r="BU95" s="85"/>
      <c r="BV95" s="84"/>
      <c r="BW95" s="84"/>
      <c r="BX95" s="84"/>
      <c r="BY95" s="85"/>
      <c r="BZ95" s="84"/>
      <c r="CA95" s="84"/>
      <c r="CB95" s="84"/>
      <c r="CC95" s="84"/>
      <c r="CD95" s="86"/>
      <c r="CE95" s="84"/>
      <c r="CF95" s="81"/>
      <c r="CG95" s="53"/>
      <c r="CH95" s="54"/>
      <c r="CI95" s="55"/>
      <c r="CJ95" s="56"/>
      <c r="CK95" s="54"/>
      <c r="CL95" s="57"/>
    </row>
    <row r="96" spans="1:90" ht="26.45" customHeight="1">
      <c r="A96" s="176">
        <v>92</v>
      </c>
      <c r="B96" s="177"/>
      <c r="C96" s="178" t="s">
        <v>302</v>
      </c>
      <c r="D96" s="179"/>
      <c r="E96" s="179"/>
      <c r="F96" s="179"/>
      <c r="G96" s="179"/>
      <c r="H96" s="179"/>
      <c r="I96" s="179"/>
      <c r="J96" s="179"/>
      <c r="K96" s="179"/>
      <c r="L96" s="180"/>
      <c r="M96" s="78"/>
      <c r="N96" s="80"/>
      <c r="O96" s="80"/>
      <c r="P96" s="80"/>
      <c r="Q96" s="80"/>
      <c r="R96" s="78"/>
      <c r="S96" s="80"/>
      <c r="T96" s="80"/>
      <c r="U96" s="80"/>
      <c r="V96" s="78"/>
      <c r="W96" s="80"/>
      <c r="X96" s="80"/>
      <c r="Y96" s="80"/>
      <c r="Z96" s="80"/>
      <c r="AA96" s="80"/>
      <c r="AB96" s="84"/>
      <c r="AC96" s="84"/>
      <c r="AD96" s="84"/>
      <c r="AE96" s="85"/>
      <c r="AF96" s="84"/>
      <c r="AG96" s="84"/>
      <c r="AH96" s="84"/>
      <c r="AI96" s="84"/>
      <c r="AJ96" s="86"/>
      <c r="AK96" s="84"/>
      <c r="AL96" s="84"/>
      <c r="AM96" s="84"/>
      <c r="AN96" s="84"/>
      <c r="AO96" s="86"/>
      <c r="AP96" s="84"/>
      <c r="AQ96" s="84"/>
      <c r="AR96" s="84"/>
      <c r="AS96" s="86"/>
      <c r="AT96" s="84"/>
      <c r="AU96" s="84"/>
      <c r="AV96" s="84"/>
      <c r="AW96" s="84"/>
      <c r="AX96" s="85"/>
      <c r="AY96" s="84"/>
      <c r="AZ96" s="84"/>
      <c r="BA96" s="84"/>
      <c r="BB96" s="85"/>
      <c r="BC96" s="84"/>
      <c r="BD96" s="84"/>
      <c r="BE96" s="84"/>
      <c r="BF96" s="84"/>
      <c r="BG96" s="86"/>
      <c r="BH96" s="84"/>
      <c r="BI96" s="84"/>
      <c r="BJ96" s="84"/>
      <c r="BK96" s="84"/>
      <c r="BL96" s="86"/>
      <c r="BM96" s="84"/>
      <c r="BN96" s="84"/>
      <c r="BO96" s="84"/>
      <c r="BP96" s="86"/>
      <c r="BQ96" s="84"/>
      <c r="BR96" s="84"/>
      <c r="BS96" s="84"/>
      <c r="BT96" s="84"/>
      <c r="BU96" s="85"/>
      <c r="BV96" s="84"/>
      <c r="BW96" s="84"/>
      <c r="BX96" s="84"/>
      <c r="BY96" s="85"/>
      <c r="BZ96" s="84"/>
      <c r="CA96" s="84"/>
      <c r="CB96" s="84"/>
      <c r="CC96" s="84"/>
      <c r="CD96" s="86"/>
      <c r="CE96" s="84"/>
      <c r="CF96" s="81"/>
      <c r="CG96" s="53"/>
      <c r="CH96" s="54"/>
      <c r="CI96" s="55"/>
      <c r="CJ96" s="56"/>
      <c r="CK96" s="54"/>
      <c r="CL96" s="57"/>
    </row>
    <row r="97" spans="1:90" ht="26.45" customHeight="1">
      <c r="A97" s="176">
        <v>93</v>
      </c>
      <c r="B97" s="177"/>
      <c r="C97" s="178" t="s">
        <v>307</v>
      </c>
      <c r="D97" s="179"/>
      <c r="E97" s="179"/>
      <c r="F97" s="179"/>
      <c r="G97" s="179"/>
      <c r="H97" s="179"/>
      <c r="I97" s="179"/>
      <c r="J97" s="179"/>
      <c r="K97" s="179"/>
      <c r="L97" s="180"/>
      <c r="M97" s="78"/>
      <c r="N97" s="80"/>
      <c r="O97" s="80"/>
      <c r="P97" s="80"/>
      <c r="Q97" s="80"/>
      <c r="R97" s="78"/>
      <c r="S97" s="80"/>
      <c r="T97" s="80"/>
      <c r="U97" s="80"/>
      <c r="V97" s="78"/>
      <c r="W97" s="80"/>
      <c r="X97" s="80"/>
      <c r="Y97" s="80"/>
      <c r="Z97" s="80"/>
      <c r="AA97" s="80"/>
      <c r="AB97" s="84"/>
      <c r="AC97" s="84"/>
      <c r="AD97" s="84"/>
      <c r="AE97" s="85"/>
      <c r="AF97" s="84"/>
      <c r="AG97" s="84"/>
      <c r="AH97" s="84"/>
      <c r="AI97" s="84"/>
      <c r="AJ97" s="86"/>
      <c r="AK97" s="84"/>
      <c r="AL97" s="84"/>
      <c r="AM97" s="84"/>
      <c r="AN97" s="84"/>
      <c r="AO97" s="86"/>
      <c r="AP97" s="84"/>
      <c r="AQ97" s="84"/>
      <c r="AR97" s="84"/>
      <c r="AS97" s="86"/>
      <c r="AT97" s="84"/>
      <c r="AU97" s="84"/>
      <c r="AV97" s="84"/>
      <c r="AW97" s="84"/>
      <c r="AX97" s="85"/>
      <c r="AY97" s="84"/>
      <c r="AZ97" s="84"/>
      <c r="BA97" s="84"/>
      <c r="BB97" s="85"/>
      <c r="BC97" s="84"/>
      <c r="BD97" s="84"/>
      <c r="BE97" s="84"/>
      <c r="BF97" s="84"/>
      <c r="BG97" s="86"/>
      <c r="BH97" s="84"/>
      <c r="BI97" s="84"/>
      <c r="BJ97" s="84"/>
      <c r="BK97" s="84"/>
      <c r="BL97" s="86"/>
      <c r="BM97" s="84"/>
      <c r="BN97" s="84"/>
      <c r="BO97" s="84"/>
      <c r="BP97" s="86"/>
      <c r="BQ97" s="84"/>
      <c r="BR97" s="84"/>
      <c r="BS97" s="84"/>
      <c r="BT97" s="84"/>
      <c r="BU97" s="85"/>
      <c r="BV97" s="84"/>
      <c r="BW97" s="84"/>
      <c r="BX97" s="84"/>
      <c r="BY97" s="85"/>
      <c r="BZ97" s="84"/>
      <c r="CA97" s="84"/>
      <c r="CB97" s="84"/>
      <c r="CC97" s="84"/>
      <c r="CD97" s="86"/>
      <c r="CE97" s="84"/>
      <c r="CF97" s="81"/>
      <c r="CG97" s="53"/>
      <c r="CH97" s="54"/>
      <c r="CI97" s="55"/>
      <c r="CJ97" s="56"/>
      <c r="CK97" s="54"/>
      <c r="CL97" s="57"/>
    </row>
    <row r="98" spans="1:90" ht="26.45" customHeight="1">
      <c r="A98" s="176">
        <v>94</v>
      </c>
      <c r="B98" s="177"/>
      <c r="C98" s="178" t="s">
        <v>308</v>
      </c>
      <c r="D98" s="179"/>
      <c r="E98" s="179"/>
      <c r="F98" s="179"/>
      <c r="G98" s="179"/>
      <c r="H98" s="179"/>
      <c r="I98" s="179"/>
      <c r="J98" s="179"/>
      <c r="K98" s="179"/>
      <c r="L98" s="180"/>
      <c r="M98" s="78"/>
      <c r="N98" s="80"/>
      <c r="O98" s="80"/>
      <c r="P98" s="80"/>
      <c r="Q98" s="80"/>
      <c r="R98" s="78"/>
      <c r="S98" s="80"/>
      <c r="T98" s="80"/>
      <c r="U98" s="80"/>
      <c r="V98" s="78"/>
      <c r="W98" s="80"/>
      <c r="X98" s="80"/>
      <c r="Y98" s="80"/>
      <c r="Z98" s="80"/>
      <c r="AA98" s="80"/>
      <c r="AB98" s="84"/>
      <c r="AC98" s="84"/>
      <c r="AD98" s="84"/>
      <c r="AE98" s="85"/>
      <c r="AF98" s="84"/>
      <c r="AG98" s="84"/>
      <c r="AH98" s="84">
        <v>1</v>
      </c>
      <c r="AI98" s="84">
        <v>1</v>
      </c>
      <c r="AJ98" s="86"/>
      <c r="AK98" s="84">
        <v>1</v>
      </c>
      <c r="AL98" s="84"/>
      <c r="AM98" s="84"/>
      <c r="AN98" s="84"/>
      <c r="AO98" s="86"/>
      <c r="AP98" s="84"/>
      <c r="AQ98" s="84"/>
      <c r="AR98" s="84"/>
      <c r="AS98" s="86"/>
      <c r="AT98" s="84"/>
      <c r="AU98" s="84"/>
      <c r="AV98" s="84"/>
      <c r="AW98" s="84"/>
      <c r="AX98" s="85"/>
      <c r="AY98" s="84"/>
      <c r="AZ98" s="84"/>
      <c r="BA98" s="84"/>
      <c r="BB98" s="85"/>
      <c r="BC98" s="84"/>
      <c r="BD98" s="84"/>
      <c r="BE98" s="84"/>
      <c r="BF98" s="84"/>
      <c r="BG98" s="86"/>
      <c r="BH98" s="84"/>
      <c r="BI98" s="84"/>
      <c r="BJ98" s="84"/>
      <c r="BK98" s="84"/>
      <c r="BL98" s="86"/>
      <c r="BM98" s="84"/>
      <c r="BN98" s="84"/>
      <c r="BO98" s="84"/>
      <c r="BP98" s="86"/>
      <c r="BQ98" s="84"/>
      <c r="BR98" s="84"/>
      <c r="BS98" s="84"/>
      <c r="BT98" s="84"/>
      <c r="BU98" s="85"/>
      <c r="BV98" s="84"/>
      <c r="BW98" s="84"/>
      <c r="BX98" s="84"/>
      <c r="BY98" s="85"/>
      <c r="BZ98" s="84"/>
      <c r="CA98" s="84"/>
      <c r="CB98" s="84"/>
      <c r="CC98" s="84"/>
      <c r="CD98" s="86"/>
      <c r="CE98" s="84"/>
      <c r="CF98" s="81"/>
      <c r="CG98" s="53"/>
      <c r="CH98" s="54"/>
      <c r="CI98" s="55"/>
      <c r="CJ98" s="56"/>
      <c r="CK98" s="54"/>
      <c r="CL98" s="57"/>
    </row>
    <row r="99" spans="1:90" ht="26.45" customHeight="1">
      <c r="A99" s="176">
        <v>95</v>
      </c>
      <c r="B99" s="177"/>
      <c r="C99" s="178" t="s">
        <v>309</v>
      </c>
      <c r="D99" s="179"/>
      <c r="E99" s="179"/>
      <c r="F99" s="179"/>
      <c r="G99" s="179"/>
      <c r="H99" s="179"/>
      <c r="I99" s="179"/>
      <c r="J99" s="179"/>
      <c r="K99" s="179"/>
      <c r="L99" s="180"/>
      <c r="M99" s="78">
        <v>1</v>
      </c>
      <c r="N99" s="80">
        <v>1</v>
      </c>
      <c r="O99" s="80">
        <v>1</v>
      </c>
      <c r="P99" s="80">
        <v>1</v>
      </c>
      <c r="Q99" s="80">
        <v>1</v>
      </c>
      <c r="R99" s="78">
        <v>1</v>
      </c>
      <c r="S99" s="80">
        <v>1</v>
      </c>
      <c r="T99" s="80">
        <v>1</v>
      </c>
      <c r="U99" s="80">
        <v>1</v>
      </c>
      <c r="V99" s="78">
        <v>1</v>
      </c>
      <c r="W99" s="80">
        <v>1</v>
      </c>
      <c r="X99" s="80">
        <v>1</v>
      </c>
      <c r="Y99" s="80">
        <v>1</v>
      </c>
      <c r="Z99" s="80">
        <v>1</v>
      </c>
      <c r="AA99" s="80">
        <v>1</v>
      </c>
      <c r="AB99" s="84">
        <v>1</v>
      </c>
      <c r="AC99" s="84">
        <v>1</v>
      </c>
      <c r="AD99" s="84">
        <v>1</v>
      </c>
      <c r="AE99" s="85">
        <v>1</v>
      </c>
      <c r="AF99" s="84">
        <v>1</v>
      </c>
      <c r="AG99" s="84">
        <v>1</v>
      </c>
      <c r="AH99" s="84">
        <v>1</v>
      </c>
      <c r="AI99" s="84">
        <v>1</v>
      </c>
      <c r="AJ99" s="86">
        <v>1</v>
      </c>
      <c r="AK99" s="84">
        <v>1</v>
      </c>
      <c r="AL99" s="84"/>
      <c r="AM99" s="84"/>
      <c r="AN99" s="84"/>
      <c r="AO99" s="86"/>
      <c r="AP99" s="84"/>
      <c r="AQ99" s="84"/>
      <c r="AR99" s="84"/>
      <c r="AS99" s="86"/>
      <c r="AT99" s="84"/>
      <c r="AU99" s="84"/>
      <c r="AV99" s="84"/>
      <c r="AW99" s="84"/>
      <c r="AX99" s="85"/>
      <c r="AY99" s="84"/>
      <c r="AZ99" s="84"/>
      <c r="BA99" s="84"/>
      <c r="BB99" s="85"/>
      <c r="BC99" s="84"/>
      <c r="BD99" s="84"/>
      <c r="BE99" s="84"/>
      <c r="BF99" s="84"/>
      <c r="BG99" s="86"/>
      <c r="BH99" s="84"/>
      <c r="BI99" s="84"/>
      <c r="BJ99" s="84"/>
      <c r="BK99" s="84"/>
      <c r="BL99" s="86"/>
      <c r="BM99" s="84"/>
      <c r="BN99" s="84"/>
      <c r="BO99" s="84"/>
      <c r="BP99" s="86"/>
      <c r="BQ99" s="84"/>
      <c r="BR99" s="84"/>
      <c r="BS99" s="84"/>
      <c r="BT99" s="84"/>
      <c r="BU99" s="85"/>
      <c r="BV99" s="84"/>
      <c r="BW99" s="84"/>
      <c r="BX99" s="84"/>
      <c r="BY99" s="85"/>
      <c r="BZ99" s="84"/>
      <c r="CA99" s="84"/>
      <c r="CB99" s="84"/>
      <c r="CC99" s="84"/>
      <c r="CD99" s="86"/>
      <c r="CE99" s="84"/>
      <c r="CF99" s="81"/>
      <c r="CG99" s="53"/>
      <c r="CH99" s="54"/>
      <c r="CI99" s="55"/>
      <c r="CJ99" s="56"/>
      <c r="CK99" s="54"/>
      <c r="CL99" s="57"/>
    </row>
    <row r="100" spans="1:90" ht="26.45" customHeight="1">
      <c r="A100" s="176">
        <v>96</v>
      </c>
      <c r="B100" s="177"/>
      <c r="C100" s="178" t="s">
        <v>311</v>
      </c>
      <c r="D100" s="179"/>
      <c r="E100" s="179"/>
      <c r="F100" s="179"/>
      <c r="G100" s="179"/>
      <c r="H100" s="179"/>
      <c r="I100" s="179"/>
      <c r="J100" s="179"/>
      <c r="K100" s="179"/>
      <c r="L100" s="180"/>
      <c r="M100" s="78"/>
      <c r="N100" s="80"/>
      <c r="O100" s="80"/>
      <c r="P100" s="80"/>
      <c r="Q100" s="80"/>
      <c r="R100" s="78"/>
      <c r="S100" s="80"/>
      <c r="T100" s="80"/>
      <c r="U100" s="80"/>
      <c r="V100" s="78"/>
      <c r="W100" s="80"/>
      <c r="X100" s="80"/>
      <c r="Y100" s="80"/>
      <c r="Z100" s="80"/>
      <c r="AA100" s="80"/>
      <c r="AB100" s="84"/>
      <c r="AC100" s="84"/>
      <c r="AD100" s="84"/>
      <c r="AE100" s="85"/>
      <c r="AF100" s="84"/>
      <c r="AG100" s="84"/>
      <c r="AH100" s="84"/>
      <c r="AI100" s="84"/>
      <c r="AJ100" s="86"/>
      <c r="AK100" s="84"/>
      <c r="AL100" s="84"/>
      <c r="AM100" s="84"/>
      <c r="AN100" s="84"/>
      <c r="AO100" s="86"/>
      <c r="AP100" s="84"/>
      <c r="AQ100" s="84"/>
      <c r="AR100" s="84"/>
      <c r="AS100" s="86"/>
      <c r="AT100" s="84"/>
      <c r="AU100" s="84"/>
      <c r="AV100" s="84"/>
      <c r="AW100" s="84"/>
      <c r="AX100" s="85"/>
      <c r="AY100" s="84"/>
      <c r="AZ100" s="84"/>
      <c r="BA100" s="84"/>
      <c r="BB100" s="85"/>
      <c r="BC100" s="84"/>
      <c r="BD100" s="84"/>
      <c r="BE100" s="84"/>
      <c r="BF100" s="84"/>
      <c r="BG100" s="86"/>
      <c r="BH100" s="84"/>
      <c r="BI100" s="84"/>
      <c r="BJ100" s="84"/>
      <c r="BK100" s="84"/>
      <c r="BL100" s="86"/>
      <c r="BM100" s="84"/>
      <c r="BN100" s="84"/>
      <c r="BO100" s="84"/>
      <c r="BP100" s="86"/>
      <c r="BQ100" s="84"/>
      <c r="BR100" s="84"/>
      <c r="BS100" s="84"/>
      <c r="BT100" s="84"/>
      <c r="BU100" s="85"/>
      <c r="BV100" s="84"/>
      <c r="BW100" s="84"/>
      <c r="BX100" s="84"/>
      <c r="BY100" s="85"/>
      <c r="BZ100" s="84"/>
      <c r="CA100" s="84"/>
      <c r="CB100" s="84"/>
      <c r="CC100" s="84"/>
      <c r="CD100" s="86"/>
      <c r="CE100" s="84"/>
      <c r="CF100" s="81"/>
      <c r="CG100" s="53"/>
      <c r="CH100" s="54"/>
      <c r="CI100" s="55"/>
      <c r="CJ100" s="56"/>
      <c r="CK100" s="54"/>
      <c r="CL100" s="57"/>
    </row>
    <row r="101" spans="1:90" ht="26.45" customHeight="1">
      <c r="A101" s="176">
        <v>97</v>
      </c>
      <c r="B101" s="177"/>
      <c r="C101" s="219" t="s">
        <v>312</v>
      </c>
      <c r="D101" s="220"/>
      <c r="E101" s="220"/>
      <c r="F101" s="220"/>
      <c r="G101" s="220"/>
      <c r="H101" s="220"/>
      <c r="I101" s="220"/>
      <c r="J101" s="220"/>
      <c r="K101" s="220"/>
      <c r="L101" s="221"/>
      <c r="M101" s="78"/>
      <c r="N101" s="80"/>
      <c r="O101" s="80"/>
      <c r="P101" s="80"/>
      <c r="Q101" s="80"/>
      <c r="R101" s="78"/>
      <c r="S101" s="80"/>
      <c r="T101" s="80"/>
      <c r="U101" s="80"/>
      <c r="V101" s="78"/>
      <c r="W101" s="80"/>
      <c r="X101" s="80"/>
      <c r="Y101" s="80"/>
      <c r="Z101" s="80"/>
      <c r="AA101" s="80"/>
      <c r="AB101" s="84"/>
      <c r="AC101" s="84"/>
      <c r="AD101" s="84"/>
      <c r="AE101" s="85"/>
      <c r="AF101" s="84"/>
      <c r="AG101" s="84"/>
      <c r="AH101" s="84"/>
      <c r="AI101" s="84"/>
      <c r="AJ101" s="86"/>
      <c r="AK101" s="84"/>
      <c r="AL101" s="84"/>
      <c r="AM101" s="84"/>
      <c r="AN101" s="84"/>
      <c r="AO101" s="86"/>
      <c r="AP101" s="84"/>
      <c r="AQ101" s="84"/>
      <c r="AR101" s="84"/>
      <c r="AS101" s="86"/>
      <c r="AT101" s="84"/>
      <c r="AU101" s="84"/>
      <c r="AV101" s="84"/>
      <c r="AW101" s="84"/>
      <c r="AX101" s="85"/>
      <c r="AY101" s="84"/>
      <c r="AZ101" s="84"/>
      <c r="BA101" s="84"/>
      <c r="BB101" s="85"/>
      <c r="BC101" s="84"/>
      <c r="BD101" s="84"/>
      <c r="BE101" s="84"/>
      <c r="BF101" s="84"/>
      <c r="BG101" s="86"/>
      <c r="BH101" s="84"/>
      <c r="BI101" s="84"/>
      <c r="BJ101" s="84"/>
      <c r="BK101" s="84"/>
      <c r="BL101" s="86"/>
      <c r="BM101" s="84"/>
      <c r="BN101" s="84"/>
      <c r="BO101" s="84"/>
      <c r="BP101" s="86"/>
      <c r="BQ101" s="84"/>
      <c r="BR101" s="84"/>
      <c r="BS101" s="84"/>
      <c r="BT101" s="84"/>
      <c r="BU101" s="85"/>
      <c r="BV101" s="84"/>
      <c r="BW101" s="84"/>
      <c r="BX101" s="84"/>
      <c r="BY101" s="85"/>
      <c r="BZ101" s="84"/>
      <c r="CA101" s="84"/>
      <c r="CB101" s="84"/>
      <c r="CC101" s="84"/>
      <c r="CD101" s="86"/>
      <c r="CE101" s="84"/>
      <c r="CF101" s="81"/>
      <c r="CG101" s="53"/>
      <c r="CH101" s="54"/>
      <c r="CI101" s="55"/>
      <c r="CJ101" s="56"/>
      <c r="CK101" s="54"/>
      <c r="CL101" s="57"/>
    </row>
    <row r="102" spans="1:90" ht="26.45" customHeight="1">
      <c r="A102" s="176">
        <v>98</v>
      </c>
      <c r="B102" s="177"/>
      <c r="C102" s="178" t="s">
        <v>313</v>
      </c>
      <c r="D102" s="179"/>
      <c r="E102" s="179"/>
      <c r="F102" s="179"/>
      <c r="G102" s="179"/>
      <c r="H102" s="179"/>
      <c r="I102" s="179"/>
      <c r="J102" s="179"/>
      <c r="K102" s="179"/>
      <c r="L102" s="180"/>
      <c r="M102" s="78"/>
      <c r="N102" s="80"/>
      <c r="O102" s="80"/>
      <c r="P102" s="80"/>
      <c r="Q102" s="80"/>
      <c r="R102" s="78"/>
      <c r="S102" s="80"/>
      <c r="T102" s="80"/>
      <c r="U102" s="80"/>
      <c r="V102" s="78"/>
      <c r="W102" s="80"/>
      <c r="X102" s="80"/>
      <c r="Y102" s="80"/>
      <c r="Z102" s="80"/>
      <c r="AA102" s="80"/>
      <c r="AB102" s="84"/>
      <c r="AC102" s="84"/>
      <c r="AD102" s="84"/>
      <c r="AE102" s="85"/>
      <c r="AF102" s="84"/>
      <c r="AG102" s="84"/>
      <c r="AH102" s="84"/>
      <c r="AI102" s="84"/>
      <c r="AJ102" s="86"/>
      <c r="AK102" s="84"/>
      <c r="AL102" s="84"/>
      <c r="AM102" s="84"/>
      <c r="AN102" s="84"/>
      <c r="AO102" s="86"/>
      <c r="AP102" s="84"/>
      <c r="AQ102" s="84"/>
      <c r="AR102" s="84"/>
      <c r="AS102" s="86"/>
      <c r="AT102" s="84"/>
      <c r="AU102" s="84"/>
      <c r="AV102" s="84"/>
      <c r="AW102" s="84"/>
      <c r="AX102" s="85"/>
      <c r="AY102" s="84"/>
      <c r="AZ102" s="84"/>
      <c r="BA102" s="84"/>
      <c r="BB102" s="85"/>
      <c r="BC102" s="84"/>
      <c r="BD102" s="84"/>
      <c r="BE102" s="84"/>
      <c r="BF102" s="84"/>
      <c r="BG102" s="86"/>
      <c r="BH102" s="84"/>
      <c r="BI102" s="84"/>
      <c r="BJ102" s="84"/>
      <c r="BK102" s="84"/>
      <c r="BL102" s="86"/>
      <c r="BM102" s="84"/>
      <c r="BN102" s="84"/>
      <c r="BO102" s="84"/>
      <c r="BP102" s="86"/>
      <c r="BQ102" s="84"/>
      <c r="BR102" s="84"/>
      <c r="BS102" s="84"/>
      <c r="BT102" s="84"/>
      <c r="BU102" s="85"/>
      <c r="BV102" s="84"/>
      <c r="BW102" s="84"/>
      <c r="BX102" s="84"/>
      <c r="BY102" s="85"/>
      <c r="BZ102" s="84"/>
      <c r="CA102" s="84"/>
      <c r="CB102" s="84"/>
      <c r="CC102" s="84"/>
      <c r="CD102" s="86"/>
      <c r="CE102" s="84"/>
      <c r="CF102" s="81"/>
      <c r="CG102" s="53"/>
      <c r="CH102" s="54"/>
      <c r="CI102" s="55"/>
      <c r="CJ102" s="56"/>
      <c r="CK102" s="54"/>
      <c r="CL102" s="57"/>
    </row>
    <row r="103" spans="1:90" ht="26.45" customHeight="1">
      <c r="A103" s="176">
        <v>99</v>
      </c>
      <c r="B103" s="177"/>
      <c r="C103" s="178" t="s">
        <v>319</v>
      </c>
      <c r="D103" s="179"/>
      <c r="E103" s="179"/>
      <c r="F103" s="179"/>
      <c r="G103" s="179"/>
      <c r="H103" s="179"/>
      <c r="I103" s="179"/>
      <c r="J103" s="179"/>
      <c r="K103" s="179"/>
      <c r="L103" s="180"/>
      <c r="M103" s="78"/>
      <c r="N103" s="80"/>
      <c r="O103" s="80"/>
      <c r="P103" s="80"/>
      <c r="Q103" s="80"/>
      <c r="R103" s="78"/>
      <c r="S103" s="80"/>
      <c r="T103" s="80"/>
      <c r="U103" s="80"/>
      <c r="V103" s="78"/>
      <c r="W103" s="80"/>
      <c r="X103" s="80"/>
      <c r="Y103" s="80"/>
      <c r="Z103" s="80"/>
      <c r="AA103" s="80"/>
      <c r="AB103" s="84"/>
      <c r="AC103" s="84"/>
      <c r="AD103" s="84"/>
      <c r="AE103" s="85"/>
      <c r="AF103" s="84"/>
      <c r="AG103" s="84"/>
      <c r="AH103" s="84"/>
      <c r="AI103" s="84"/>
      <c r="AJ103" s="86"/>
      <c r="AK103" s="84"/>
      <c r="AL103" s="84"/>
      <c r="AM103" s="84"/>
      <c r="AN103" s="84"/>
      <c r="AO103" s="86"/>
      <c r="AP103" s="84"/>
      <c r="AQ103" s="84"/>
      <c r="AR103" s="84"/>
      <c r="AS103" s="86"/>
      <c r="AT103" s="84"/>
      <c r="AU103" s="84"/>
      <c r="AV103" s="84"/>
      <c r="AW103" s="84"/>
      <c r="AX103" s="85"/>
      <c r="AY103" s="84"/>
      <c r="AZ103" s="84"/>
      <c r="BA103" s="84"/>
      <c r="BB103" s="85"/>
      <c r="BC103" s="84"/>
      <c r="BD103" s="84"/>
      <c r="BE103" s="84"/>
      <c r="BF103" s="84"/>
      <c r="BG103" s="86"/>
      <c r="BH103" s="84"/>
      <c r="BI103" s="84"/>
      <c r="BJ103" s="84"/>
      <c r="BK103" s="84"/>
      <c r="BL103" s="86"/>
      <c r="BM103" s="84"/>
      <c r="BN103" s="84"/>
      <c r="BO103" s="84"/>
      <c r="BP103" s="86"/>
      <c r="BQ103" s="84"/>
      <c r="BR103" s="84"/>
      <c r="BS103" s="84"/>
      <c r="BT103" s="84"/>
      <c r="BU103" s="85"/>
      <c r="BV103" s="84"/>
      <c r="BW103" s="84"/>
      <c r="BX103" s="84"/>
      <c r="BY103" s="85"/>
      <c r="BZ103" s="84"/>
      <c r="CA103" s="84"/>
      <c r="CB103" s="84"/>
      <c r="CC103" s="84"/>
      <c r="CD103" s="86"/>
      <c r="CE103" s="84"/>
      <c r="CF103" s="81"/>
      <c r="CG103" s="53"/>
      <c r="CH103" s="54"/>
      <c r="CI103" s="55"/>
      <c r="CJ103" s="56"/>
      <c r="CK103" s="54"/>
      <c r="CL103" s="57"/>
    </row>
    <row r="104" spans="1:90" ht="26.45" customHeight="1">
      <c r="A104" s="176">
        <v>100</v>
      </c>
      <c r="B104" s="177"/>
      <c r="C104" s="178" t="s">
        <v>320</v>
      </c>
      <c r="D104" s="179"/>
      <c r="E104" s="179"/>
      <c r="F104" s="179"/>
      <c r="G104" s="179"/>
      <c r="H104" s="179"/>
      <c r="I104" s="179"/>
      <c r="J104" s="179"/>
      <c r="K104" s="179"/>
      <c r="L104" s="180"/>
      <c r="M104" s="78"/>
      <c r="N104" s="80"/>
      <c r="O104" s="80"/>
      <c r="P104" s="80"/>
      <c r="Q104" s="80"/>
      <c r="R104" s="78"/>
      <c r="S104" s="80"/>
      <c r="T104" s="80"/>
      <c r="U104" s="80"/>
      <c r="V104" s="78"/>
      <c r="W104" s="80"/>
      <c r="X104" s="80"/>
      <c r="Y104" s="80"/>
      <c r="Z104" s="80"/>
      <c r="AA104" s="80"/>
      <c r="AB104" s="84"/>
      <c r="AC104" s="84"/>
      <c r="AD104" s="84"/>
      <c r="AE104" s="85"/>
      <c r="AF104" s="84"/>
      <c r="AG104" s="84"/>
      <c r="AH104" s="84"/>
      <c r="AI104" s="84"/>
      <c r="AJ104" s="86"/>
      <c r="AK104" s="84"/>
      <c r="AL104" s="84"/>
      <c r="AM104" s="84"/>
      <c r="AN104" s="84"/>
      <c r="AO104" s="86"/>
      <c r="AP104" s="84"/>
      <c r="AQ104" s="84"/>
      <c r="AR104" s="84"/>
      <c r="AS104" s="86"/>
      <c r="AT104" s="84"/>
      <c r="AU104" s="84"/>
      <c r="AV104" s="84"/>
      <c r="AW104" s="84"/>
      <c r="AX104" s="85"/>
      <c r="AY104" s="84"/>
      <c r="AZ104" s="84"/>
      <c r="BA104" s="84"/>
      <c r="BB104" s="85"/>
      <c r="BC104" s="84"/>
      <c r="BD104" s="84"/>
      <c r="BE104" s="84"/>
      <c r="BF104" s="84"/>
      <c r="BG104" s="86"/>
      <c r="BH104" s="84"/>
      <c r="BI104" s="84"/>
      <c r="BJ104" s="84"/>
      <c r="BK104" s="84"/>
      <c r="BL104" s="86"/>
      <c r="BM104" s="84"/>
      <c r="BN104" s="84"/>
      <c r="BO104" s="84"/>
      <c r="BP104" s="86"/>
      <c r="BQ104" s="84"/>
      <c r="BR104" s="84"/>
      <c r="BS104" s="84"/>
      <c r="BT104" s="84"/>
      <c r="BU104" s="85"/>
      <c r="BV104" s="84"/>
      <c r="BW104" s="84"/>
      <c r="BX104" s="84"/>
      <c r="BY104" s="85"/>
      <c r="BZ104" s="84"/>
      <c r="CA104" s="84"/>
      <c r="CB104" s="84"/>
      <c r="CC104" s="84"/>
      <c r="CD104" s="86"/>
      <c r="CE104" s="84"/>
      <c r="CF104" s="81"/>
      <c r="CG104" s="53"/>
      <c r="CH104" s="54"/>
      <c r="CI104" s="55"/>
      <c r="CJ104" s="56"/>
      <c r="CK104" s="54"/>
      <c r="CL104" s="57"/>
    </row>
    <row r="105" spans="1:90" ht="26.45" customHeight="1">
      <c r="A105" s="176">
        <v>101</v>
      </c>
      <c r="B105" s="177"/>
      <c r="C105" s="178" t="s">
        <v>325</v>
      </c>
      <c r="D105" s="179"/>
      <c r="E105" s="179"/>
      <c r="F105" s="179"/>
      <c r="G105" s="179"/>
      <c r="H105" s="179"/>
      <c r="I105" s="179"/>
      <c r="J105" s="179"/>
      <c r="K105" s="179"/>
      <c r="L105" s="180"/>
      <c r="M105" s="78">
        <v>1</v>
      </c>
      <c r="N105" s="80">
        <v>1</v>
      </c>
      <c r="O105" s="80"/>
      <c r="P105" s="80"/>
      <c r="Q105" s="80"/>
      <c r="R105" s="78"/>
      <c r="S105" s="80"/>
      <c r="T105" s="80"/>
      <c r="U105" s="80"/>
      <c r="V105" s="78"/>
      <c r="W105" s="80"/>
      <c r="X105" s="80"/>
      <c r="Y105" s="80"/>
      <c r="Z105" s="80"/>
      <c r="AA105" s="80"/>
      <c r="AB105" s="84"/>
      <c r="AC105" s="84"/>
      <c r="AD105" s="84"/>
      <c r="AE105" s="85"/>
      <c r="AF105" s="84"/>
      <c r="AG105" s="84"/>
      <c r="AH105" s="84"/>
      <c r="AI105" s="84"/>
      <c r="AJ105" s="86"/>
      <c r="AK105" s="84"/>
      <c r="AL105" s="84"/>
      <c r="AM105" s="84"/>
      <c r="AN105" s="84"/>
      <c r="AO105" s="86"/>
      <c r="AP105" s="84"/>
      <c r="AQ105" s="84"/>
      <c r="AR105" s="84"/>
      <c r="AS105" s="86"/>
      <c r="AT105" s="84"/>
      <c r="AU105" s="84"/>
      <c r="AV105" s="84"/>
      <c r="AW105" s="84"/>
      <c r="AX105" s="85"/>
      <c r="AY105" s="84"/>
      <c r="AZ105" s="84"/>
      <c r="BA105" s="84"/>
      <c r="BB105" s="85"/>
      <c r="BC105" s="84"/>
      <c r="BD105" s="84"/>
      <c r="BE105" s="84"/>
      <c r="BF105" s="84"/>
      <c r="BG105" s="86"/>
      <c r="BH105" s="84"/>
      <c r="BI105" s="84"/>
      <c r="BJ105" s="84"/>
      <c r="BK105" s="84"/>
      <c r="BL105" s="86"/>
      <c r="BM105" s="84"/>
      <c r="BN105" s="84"/>
      <c r="BO105" s="84"/>
      <c r="BP105" s="86"/>
      <c r="BQ105" s="84"/>
      <c r="BR105" s="84"/>
      <c r="BS105" s="84"/>
      <c r="BT105" s="84"/>
      <c r="BU105" s="85"/>
      <c r="BV105" s="84"/>
      <c r="BW105" s="84"/>
      <c r="BX105" s="84"/>
      <c r="BY105" s="85"/>
      <c r="BZ105" s="84"/>
      <c r="CA105" s="84"/>
      <c r="CB105" s="84"/>
      <c r="CC105" s="84"/>
      <c r="CD105" s="86"/>
      <c r="CE105" s="84"/>
      <c r="CF105" s="81"/>
      <c r="CG105" s="53"/>
      <c r="CH105" s="54"/>
      <c r="CI105" s="55"/>
      <c r="CJ105" s="56"/>
      <c r="CK105" s="54"/>
      <c r="CL105" s="57"/>
    </row>
    <row r="106" spans="1:90" ht="26.45" customHeight="1">
      <c r="A106" s="176">
        <v>102</v>
      </c>
      <c r="B106" s="177"/>
      <c r="C106" s="178" t="s">
        <v>329</v>
      </c>
      <c r="D106" s="179"/>
      <c r="E106" s="179"/>
      <c r="F106" s="179"/>
      <c r="G106" s="179"/>
      <c r="H106" s="179"/>
      <c r="I106" s="179"/>
      <c r="J106" s="179"/>
      <c r="K106" s="179"/>
      <c r="L106" s="180"/>
      <c r="M106" s="78"/>
      <c r="N106" s="80"/>
      <c r="O106" s="80"/>
      <c r="P106" s="80"/>
      <c r="Q106" s="80"/>
      <c r="R106" s="78"/>
      <c r="S106" s="80"/>
      <c r="T106" s="80"/>
      <c r="U106" s="80"/>
      <c r="V106" s="78"/>
      <c r="W106" s="80"/>
      <c r="X106" s="80"/>
      <c r="Y106" s="80"/>
      <c r="Z106" s="80"/>
      <c r="AA106" s="80"/>
      <c r="AB106" s="84"/>
      <c r="AC106" s="84"/>
      <c r="AD106" s="84"/>
      <c r="AE106" s="85"/>
      <c r="AF106" s="84"/>
      <c r="AG106" s="84"/>
      <c r="AH106" s="84"/>
      <c r="AI106" s="84"/>
      <c r="AJ106" s="86"/>
      <c r="AK106" s="84"/>
      <c r="AL106" s="84"/>
      <c r="AM106" s="84"/>
      <c r="AN106" s="84"/>
      <c r="AO106" s="86"/>
      <c r="AP106" s="84"/>
      <c r="AQ106" s="84"/>
      <c r="AR106" s="84"/>
      <c r="AS106" s="86"/>
      <c r="AT106" s="84"/>
      <c r="AU106" s="84"/>
      <c r="AV106" s="84"/>
      <c r="AW106" s="84"/>
      <c r="AX106" s="85"/>
      <c r="AY106" s="84"/>
      <c r="AZ106" s="84"/>
      <c r="BA106" s="84"/>
      <c r="BB106" s="85"/>
      <c r="BC106" s="84"/>
      <c r="BD106" s="84"/>
      <c r="BE106" s="84"/>
      <c r="BF106" s="84"/>
      <c r="BG106" s="86"/>
      <c r="BH106" s="84"/>
      <c r="BI106" s="84"/>
      <c r="BJ106" s="84"/>
      <c r="BK106" s="84"/>
      <c r="BL106" s="86"/>
      <c r="BM106" s="84"/>
      <c r="BN106" s="84"/>
      <c r="BO106" s="84"/>
      <c r="BP106" s="86"/>
      <c r="BQ106" s="84"/>
      <c r="BR106" s="84"/>
      <c r="BS106" s="84"/>
      <c r="BT106" s="84"/>
      <c r="BU106" s="85"/>
      <c r="BV106" s="84"/>
      <c r="BW106" s="84"/>
      <c r="BX106" s="84"/>
      <c r="BY106" s="85"/>
      <c r="BZ106" s="84"/>
      <c r="CA106" s="84"/>
      <c r="CB106" s="84"/>
      <c r="CC106" s="84"/>
      <c r="CD106" s="86"/>
      <c r="CE106" s="84"/>
      <c r="CF106" s="81"/>
      <c r="CG106" s="53"/>
      <c r="CH106" s="54"/>
      <c r="CI106" s="55"/>
      <c r="CJ106" s="56"/>
      <c r="CK106" s="54"/>
      <c r="CL106" s="57"/>
    </row>
    <row r="107" spans="1:90" ht="26.45" customHeight="1">
      <c r="A107" s="176">
        <v>103</v>
      </c>
      <c r="B107" s="177"/>
      <c r="C107" s="178" t="s">
        <v>334</v>
      </c>
      <c r="D107" s="179"/>
      <c r="E107" s="179"/>
      <c r="F107" s="179"/>
      <c r="G107" s="179"/>
      <c r="H107" s="179"/>
      <c r="I107" s="179"/>
      <c r="J107" s="179"/>
      <c r="K107" s="179"/>
      <c r="L107" s="180"/>
      <c r="M107" s="78"/>
      <c r="N107" s="80"/>
      <c r="O107" s="80"/>
      <c r="P107" s="80"/>
      <c r="Q107" s="80"/>
      <c r="R107" s="78"/>
      <c r="S107" s="80"/>
      <c r="T107" s="80"/>
      <c r="U107" s="80"/>
      <c r="V107" s="78"/>
      <c r="W107" s="80"/>
      <c r="X107" s="80"/>
      <c r="Y107" s="80"/>
      <c r="Z107" s="80"/>
      <c r="AA107" s="80"/>
      <c r="AB107" s="84"/>
      <c r="AC107" s="84"/>
      <c r="AD107" s="84">
        <v>1</v>
      </c>
      <c r="AE107" s="85">
        <v>1</v>
      </c>
      <c r="AF107" s="84"/>
      <c r="AG107" s="84"/>
      <c r="AH107" s="84"/>
      <c r="AI107" s="84"/>
      <c r="AJ107" s="86"/>
      <c r="AK107" s="84"/>
      <c r="AL107" s="84"/>
      <c r="AM107" s="84"/>
      <c r="AN107" s="84"/>
      <c r="AO107" s="86"/>
      <c r="AP107" s="84"/>
      <c r="AQ107" s="84"/>
      <c r="AR107" s="84"/>
      <c r="AS107" s="86"/>
      <c r="AT107" s="84"/>
      <c r="AU107" s="84"/>
      <c r="AV107" s="84"/>
      <c r="AW107" s="84"/>
      <c r="AX107" s="85"/>
      <c r="AY107" s="84"/>
      <c r="AZ107" s="84"/>
      <c r="BA107" s="84"/>
      <c r="BB107" s="85"/>
      <c r="BC107" s="84"/>
      <c r="BD107" s="84"/>
      <c r="BE107" s="84"/>
      <c r="BF107" s="84"/>
      <c r="BG107" s="86"/>
      <c r="BH107" s="84"/>
      <c r="BI107" s="84"/>
      <c r="BJ107" s="84"/>
      <c r="BK107" s="84"/>
      <c r="BL107" s="86"/>
      <c r="BM107" s="84"/>
      <c r="BN107" s="84"/>
      <c r="BO107" s="84"/>
      <c r="BP107" s="86"/>
      <c r="BQ107" s="84"/>
      <c r="BR107" s="84"/>
      <c r="BS107" s="84"/>
      <c r="BT107" s="84"/>
      <c r="BU107" s="85"/>
      <c r="BV107" s="84"/>
      <c r="BW107" s="84"/>
      <c r="BX107" s="84"/>
      <c r="BY107" s="85"/>
      <c r="BZ107" s="84"/>
      <c r="CA107" s="84"/>
      <c r="CB107" s="84"/>
      <c r="CC107" s="84"/>
      <c r="CD107" s="86"/>
      <c r="CE107" s="84"/>
      <c r="CF107" s="81"/>
      <c r="CG107" s="53"/>
      <c r="CH107" s="54"/>
      <c r="CI107" s="55"/>
      <c r="CJ107" s="56"/>
      <c r="CK107" s="54"/>
      <c r="CL107" s="57"/>
    </row>
    <row r="108" spans="1:90" ht="26.45" customHeight="1">
      <c r="A108" s="176">
        <v>104</v>
      </c>
      <c r="B108" s="177"/>
      <c r="C108" s="178" t="s">
        <v>346</v>
      </c>
      <c r="D108" s="179"/>
      <c r="E108" s="179"/>
      <c r="F108" s="179"/>
      <c r="G108" s="179"/>
      <c r="H108" s="179"/>
      <c r="I108" s="179"/>
      <c r="J108" s="179"/>
      <c r="K108" s="179"/>
      <c r="L108" s="180"/>
      <c r="M108" s="78"/>
      <c r="N108" s="80"/>
      <c r="O108" s="80"/>
      <c r="P108" s="80"/>
      <c r="Q108" s="80"/>
      <c r="R108" s="78"/>
      <c r="S108" s="80"/>
      <c r="T108" s="80"/>
      <c r="U108" s="80"/>
      <c r="V108" s="78"/>
      <c r="W108" s="80"/>
      <c r="X108" s="80"/>
      <c r="Y108" s="80"/>
      <c r="Z108" s="80"/>
      <c r="AA108" s="80"/>
      <c r="AB108" s="84"/>
      <c r="AC108" s="84"/>
      <c r="AD108" s="84"/>
      <c r="AE108" s="85"/>
      <c r="AF108" s="84"/>
      <c r="AG108" s="84"/>
      <c r="AH108" s="84"/>
      <c r="AI108" s="84"/>
      <c r="AJ108" s="86"/>
      <c r="AK108" s="84"/>
      <c r="AL108" s="84"/>
      <c r="AM108" s="84"/>
      <c r="AN108" s="84"/>
      <c r="AO108" s="86"/>
      <c r="AP108" s="84"/>
      <c r="AQ108" s="84"/>
      <c r="AR108" s="84"/>
      <c r="AS108" s="86"/>
      <c r="AT108" s="84"/>
      <c r="AU108" s="84"/>
      <c r="AV108" s="84"/>
      <c r="AW108" s="84"/>
      <c r="AX108" s="85"/>
      <c r="AY108" s="84"/>
      <c r="AZ108" s="84"/>
      <c r="BA108" s="84"/>
      <c r="BB108" s="85"/>
      <c r="BC108" s="84"/>
      <c r="BD108" s="84"/>
      <c r="BE108" s="84"/>
      <c r="BF108" s="84"/>
      <c r="BG108" s="86"/>
      <c r="BH108" s="84"/>
      <c r="BI108" s="84"/>
      <c r="BJ108" s="84"/>
      <c r="BK108" s="84"/>
      <c r="BL108" s="86"/>
      <c r="BM108" s="84"/>
      <c r="BN108" s="84"/>
      <c r="BO108" s="84"/>
      <c r="BP108" s="86"/>
      <c r="BQ108" s="84"/>
      <c r="BR108" s="84"/>
      <c r="BS108" s="84"/>
      <c r="BT108" s="84"/>
      <c r="BU108" s="85"/>
      <c r="BV108" s="84"/>
      <c r="BW108" s="84"/>
      <c r="BX108" s="84"/>
      <c r="BY108" s="85"/>
      <c r="BZ108" s="84"/>
      <c r="CA108" s="84"/>
      <c r="CB108" s="84"/>
      <c r="CC108" s="84"/>
      <c r="CD108" s="86"/>
      <c r="CE108" s="84"/>
      <c r="CF108" s="81"/>
      <c r="CG108" s="53"/>
      <c r="CH108" s="54"/>
      <c r="CI108" s="55"/>
      <c r="CJ108" s="56"/>
      <c r="CK108" s="54"/>
      <c r="CL108" s="57"/>
    </row>
    <row r="109" spans="1:90" ht="26.45" customHeight="1">
      <c r="A109" s="176">
        <v>105</v>
      </c>
      <c r="B109" s="177"/>
      <c r="C109" s="178" t="s">
        <v>351</v>
      </c>
      <c r="D109" s="179"/>
      <c r="E109" s="179"/>
      <c r="F109" s="179"/>
      <c r="G109" s="179"/>
      <c r="H109" s="179"/>
      <c r="I109" s="179"/>
      <c r="J109" s="179"/>
      <c r="K109" s="179"/>
      <c r="L109" s="180"/>
      <c r="M109" s="78"/>
      <c r="N109" s="80"/>
      <c r="O109" s="80"/>
      <c r="P109" s="80"/>
      <c r="Q109" s="80"/>
      <c r="R109" s="78"/>
      <c r="S109" s="80"/>
      <c r="T109" s="80"/>
      <c r="U109" s="80"/>
      <c r="V109" s="78"/>
      <c r="W109" s="80"/>
      <c r="X109" s="80"/>
      <c r="Y109" s="80"/>
      <c r="Z109" s="80"/>
      <c r="AA109" s="80"/>
      <c r="AB109" s="84"/>
      <c r="AC109" s="84"/>
      <c r="AD109" s="84"/>
      <c r="AE109" s="85"/>
      <c r="AF109" s="84"/>
      <c r="AG109" s="84"/>
      <c r="AH109" s="84"/>
      <c r="AI109" s="84"/>
      <c r="AJ109" s="86"/>
      <c r="AK109" s="84"/>
      <c r="AL109" s="84"/>
      <c r="AM109" s="84"/>
      <c r="AN109" s="84"/>
      <c r="AO109" s="86"/>
      <c r="AP109" s="84"/>
      <c r="AQ109" s="84"/>
      <c r="AR109" s="84"/>
      <c r="AS109" s="86"/>
      <c r="AT109" s="84"/>
      <c r="AU109" s="84"/>
      <c r="AV109" s="84"/>
      <c r="AW109" s="84"/>
      <c r="AX109" s="85"/>
      <c r="AY109" s="84"/>
      <c r="AZ109" s="84"/>
      <c r="BA109" s="84"/>
      <c r="BB109" s="85"/>
      <c r="BC109" s="84"/>
      <c r="BD109" s="84"/>
      <c r="BE109" s="84"/>
      <c r="BF109" s="84"/>
      <c r="BG109" s="86"/>
      <c r="BH109" s="84"/>
      <c r="BI109" s="84"/>
      <c r="BJ109" s="84"/>
      <c r="BK109" s="84"/>
      <c r="BL109" s="86"/>
      <c r="BM109" s="84"/>
      <c r="BN109" s="84"/>
      <c r="BO109" s="84"/>
      <c r="BP109" s="86"/>
      <c r="BQ109" s="84"/>
      <c r="BR109" s="84"/>
      <c r="BS109" s="84"/>
      <c r="BT109" s="84"/>
      <c r="BU109" s="85"/>
      <c r="BV109" s="84"/>
      <c r="BW109" s="84"/>
      <c r="BX109" s="84"/>
      <c r="BY109" s="85"/>
      <c r="BZ109" s="84"/>
      <c r="CA109" s="84"/>
      <c r="CB109" s="84"/>
      <c r="CC109" s="84"/>
      <c r="CD109" s="86"/>
      <c r="CE109" s="84"/>
      <c r="CF109" s="81"/>
      <c r="CG109" s="53"/>
      <c r="CH109" s="54"/>
      <c r="CI109" s="55"/>
      <c r="CJ109" s="56"/>
      <c r="CK109" s="54"/>
      <c r="CL109" s="57"/>
    </row>
    <row r="110" spans="1:90" ht="26.45" customHeight="1">
      <c r="A110" s="176">
        <v>106</v>
      </c>
      <c r="B110" s="177"/>
      <c r="C110" s="178" t="s">
        <v>352</v>
      </c>
      <c r="D110" s="179"/>
      <c r="E110" s="179"/>
      <c r="F110" s="179"/>
      <c r="G110" s="179"/>
      <c r="H110" s="179"/>
      <c r="I110" s="179"/>
      <c r="J110" s="179"/>
      <c r="K110" s="179"/>
      <c r="L110" s="180"/>
      <c r="M110" s="78"/>
      <c r="N110" s="80"/>
      <c r="O110" s="80"/>
      <c r="P110" s="80"/>
      <c r="Q110" s="80"/>
      <c r="R110" s="78"/>
      <c r="S110" s="80"/>
      <c r="T110" s="80"/>
      <c r="U110" s="80"/>
      <c r="V110" s="78"/>
      <c r="W110" s="80"/>
      <c r="X110" s="80"/>
      <c r="Y110" s="80"/>
      <c r="Z110" s="80"/>
      <c r="AA110" s="80"/>
      <c r="AB110" s="84"/>
      <c r="AC110" s="84"/>
      <c r="AD110" s="84"/>
      <c r="AE110" s="85"/>
      <c r="AF110" s="84"/>
      <c r="AG110" s="84"/>
      <c r="AH110" s="84"/>
      <c r="AI110" s="84"/>
      <c r="AJ110" s="86"/>
      <c r="AK110" s="84"/>
      <c r="AL110" s="84"/>
      <c r="AM110" s="84"/>
      <c r="AN110" s="84"/>
      <c r="AO110" s="86"/>
      <c r="AP110" s="84"/>
      <c r="AQ110" s="84"/>
      <c r="AR110" s="84"/>
      <c r="AS110" s="86"/>
      <c r="AT110" s="84"/>
      <c r="AU110" s="84"/>
      <c r="AV110" s="84"/>
      <c r="AW110" s="84"/>
      <c r="AX110" s="85"/>
      <c r="AY110" s="84"/>
      <c r="AZ110" s="84"/>
      <c r="BA110" s="84"/>
      <c r="BB110" s="85"/>
      <c r="BC110" s="84"/>
      <c r="BD110" s="84"/>
      <c r="BE110" s="84"/>
      <c r="BF110" s="84"/>
      <c r="BG110" s="86"/>
      <c r="BH110" s="84"/>
      <c r="BI110" s="84"/>
      <c r="BJ110" s="84"/>
      <c r="BK110" s="84"/>
      <c r="BL110" s="86"/>
      <c r="BM110" s="84"/>
      <c r="BN110" s="84"/>
      <c r="BO110" s="84"/>
      <c r="BP110" s="86"/>
      <c r="BQ110" s="84"/>
      <c r="BR110" s="84"/>
      <c r="BS110" s="84"/>
      <c r="BT110" s="84"/>
      <c r="BU110" s="85"/>
      <c r="BV110" s="84"/>
      <c r="BW110" s="84"/>
      <c r="BX110" s="84"/>
      <c r="BY110" s="85"/>
      <c r="BZ110" s="84"/>
      <c r="CA110" s="84"/>
      <c r="CB110" s="84"/>
      <c r="CC110" s="84"/>
      <c r="CD110" s="86"/>
      <c r="CE110" s="84"/>
      <c r="CF110" s="81"/>
      <c r="CG110" s="53"/>
      <c r="CH110" s="54"/>
      <c r="CI110" s="55"/>
      <c r="CJ110" s="56"/>
      <c r="CK110" s="54"/>
      <c r="CL110" s="57"/>
    </row>
    <row r="111" spans="1:90" ht="26.45" customHeight="1">
      <c r="A111" s="176">
        <v>107</v>
      </c>
      <c r="B111" s="177"/>
      <c r="C111" s="178" t="s">
        <v>353</v>
      </c>
      <c r="D111" s="179"/>
      <c r="E111" s="179"/>
      <c r="F111" s="179"/>
      <c r="G111" s="179"/>
      <c r="H111" s="179"/>
      <c r="I111" s="179"/>
      <c r="J111" s="179"/>
      <c r="K111" s="179"/>
      <c r="L111" s="180"/>
      <c r="M111" s="78"/>
      <c r="N111" s="80"/>
      <c r="O111" s="80"/>
      <c r="P111" s="80"/>
      <c r="Q111" s="80"/>
      <c r="R111" s="78"/>
      <c r="S111" s="80"/>
      <c r="T111" s="80"/>
      <c r="U111" s="80"/>
      <c r="V111" s="78"/>
      <c r="W111" s="80"/>
      <c r="X111" s="80"/>
      <c r="Y111" s="80"/>
      <c r="Z111" s="80"/>
      <c r="AA111" s="80"/>
      <c r="AB111" s="84"/>
      <c r="AC111" s="84"/>
      <c r="AD111" s="84"/>
      <c r="AE111" s="85"/>
      <c r="AF111" s="84"/>
      <c r="AG111" s="84"/>
      <c r="AH111" s="84"/>
      <c r="AI111" s="84"/>
      <c r="AJ111" s="86"/>
      <c r="AK111" s="84"/>
      <c r="AL111" s="84"/>
      <c r="AM111" s="84"/>
      <c r="AN111" s="84"/>
      <c r="AO111" s="86"/>
      <c r="AP111" s="84"/>
      <c r="AQ111" s="84"/>
      <c r="AR111" s="84"/>
      <c r="AS111" s="86"/>
      <c r="AT111" s="84"/>
      <c r="AU111" s="84"/>
      <c r="AV111" s="84"/>
      <c r="AW111" s="84"/>
      <c r="AX111" s="85"/>
      <c r="AY111" s="84"/>
      <c r="AZ111" s="84"/>
      <c r="BA111" s="84"/>
      <c r="BB111" s="85"/>
      <c r="BC111" s="84"/>
      <c r="BD111" s="84"/>
      <c r="BE111" s="84"/>
      <c r="BF111" s="84"/>
      <c r="BG111" s="86"/>
      <c r="BH111" s="84"/>
      <c r="BI111" s="84"/>
      <c r="BJ111" s="84"/>
      <c r="BK111" s="84"/>
      <c r="BL111" s="86"/>
      <c r="BM111" s="84"/>
      <c r="BN111" s="84"/>
      <c r="BO111" s="84"/>
      <c r="BP111" s="86"/>
      <c r="BQ111" s="84"/>
      <c r="BR111" s="84"/>
      <c r="BS111" s="84"/>
      <c r="BT111" s="84"/>
      <c r="BU111" s="85"/>
      <c r="BV111" s="84"/>
      <c r="BW111" s="84"/>
      <c r="BX111" s="84"/>
      <c r="BY111" s="85"/>
      <c r="BZ111" s="84"/>
      <c r="CA111" s="84"/>
      <c r="CB111" s="84"/>
      <c r="CC111" s="84"/>
      <c r="CD111" s="86"/>
      <c r="CE111" s="84"/>
      <c r="CF111" s="81"/>
      <c r="CG111" s="53"/>
      <c r="CH111" s="54"/>
      <c r="CI111" s="55"/>
      <c r="CJ111" s="56"/>
      <c r="CK111" s="54"/>
      <c r="CL111" s="57"/>
    </row>
    <row r="112" spans="1:90" ht="26.45" customHeight="1">
      <c r="A112" s="176">
        <v>108</v>
      </c>
      <c r="B112" s="177"/>
      <c r="C112" s="178" t="s">
        <v>356</v>
      </c>
      <c r="D112" s="179"/>
      <c r="E112" s="179"/>
      <c r="F112" s="179"/>
      <c r="G112" s="179"/>
      <c r="H112" s="179"/>
      <c r="I112" s="179"/>
      <c r="J112" s="179"/>
      <c r="K112" s="179"/>
      <c r="L112" s="180"/>
      <c r="M112" s="78"/>
      <c r="N112" s="80"/>
      <c r="O112" s="80"/>
      <c r="P112" s="80"/>
      <c r="Q112" s="80"/>
      <c r="R112" s="78"/>
      <c r="S112" s="80"/>
      <c r="T112" s="80"/>
      <c r="U112" s="80"/>
      <c r="V112" s="78"/>
      <c r="W112" s="80"/>
      <c r="X112" s="80"/>
      <c r="Y112" s="80"/>
      <c r="Z112" s="80"/>
      <c r="AA112" s="80">
        <v>1</v>
      </c>
      <c r="AB112" s="84">
        <v>1</v>
      </c>
      <c r="AC112" s="84"/>
      <c r="AD112" s="84"/>
      <c r="AE112" s="85"/>
      <c r="AF112" s="84"/>
      <c r="AG112" s="84"/>
      <c r="AH112" s="84"/>
      <c r="AI112" s="84"/>
      <c r="AJ112" s="86"/>
      <c r="AK112" s="84"/>
      <c r="AL112" s="84"/>
      <c r="AM112" s="84"/>
      <c r="AN112" s="84"/>
      <c r="AO112" s="86"/>
      <c r="AP112" s="84"/>
      <c r="AQ112" s="84"/>
      <c r="AR112" s="84"/>
      <c r="AS112" s="86"/>
      <c r="AT112" s="84"/>
      <c r="AU112" s="84"/>
      <c r="AV112" s="84"/>
      <c r="AW112" s="84"/>
      <c r="AX112" s="85"/>
      <c r="AY112" s="84"/>
      <c r="AZ112" s="84"/>
      <c r="BA112" s="84"/>
      <c r="BB112" s="85"/>
      <c r="BC112" s="84"/>
      <c r="BD112" s="84"/>
      <c r="BE112" s="84"/>
      <c r="BF112" s="84"/>
      <c r="BG112" s="86"/>
      <c r="BH112" s="84"/>
      <c r="BI112" s="84"/>
      <c r="BJ112" s="84"/>
      <c r="BK112" s="84"/>
      <c r="BL112" s="86"/>
      <c r="BM112" s="84"/>
      <c r="BN112" s="84"/>
      <c r="BO112" s="84"/>
      <c r="BP112" s="86"/>
      <c r="BQ112" s="84"/>
      <c r="BR112" s="84"/>
      <c r="BS112" s="84"/>
      <c r="BT112" s="84"/>
      <c r="BU112" s="85"/>
      <c r="BV112" s="84"/>
      <c r="BW112" s="84"/>
      <c r="BX112" s="84"/>
      <c r="BY112" s="85"/>
      <c r="BZ112" s="84"/>
      <c r="CA112" s="84"/>
      <c r="CB112" s="84"/>
      <c r="CC112" s="84"/>
      <c r="CD112" s="86"/>
      <c r="CE112" s="84"/>
      <c r="CF112" s="81"/>
      <c r="CG112" s="53"/>
      <c r="CH112" s="54"/>
      <c r="CI112" s="55"/>
      <c r="CJ112" s="56"/>
      <c r="CK112" s="54"/>
      <c r="CL112" s="57"/>
    </row>
    <row r="113" spans="1:90" ht="26.45" customHeight="1">
      <c r="A113" s="176">
        <v>109</v>
      </c>
      <c r="B113" s="177"/>
      <c r="C113" s="178" t="s">
        <v>359</v>
      </c>
      <c r="D113" s="179"/>
      <c r="E113" s="179"/>
      <c r="F113" s="179"/>
      <c r="G113" s="179"/>
      <c r="H113" s="179"/>
      <c r="I113" s="179"/>
      <c r="J113" s="179"/>
      <c r="K113" s="179"/>
      <c r="L113" s="180"/>
      <c r="M113" s="78"/>
      <c r="N113" s="80"/>
      <c r="O113" s="80"/>
      <c r="P113" s="80"/>
      <c r="Q113" s="80"/>
      <c r="R113" s="78"/>
      <c r="S113" s="80"/>
      <c r="T113" s="80"/>
      <c r="U113" s="80"/>
      <c r="V113" s="78"/>
      <c r="W113" s="80"/>
      <c r="X113" s="80"/>
      <c r="Y113" s="80"/>
      <c r="Z113" s="80"/>
      <c r="AA113" s="80"/>
      <c r="AB113" s="84"/>
      <c r="AC113" s="84"/>
      <c r="AD113" s="84">
        <v>1</v>
      </c>
      <c r="AE113" s="85">
        <v>1</v>
      </c>
      <c r="AF113" s="84"/>
      <c r="AG113" s="84"/>
      <c r="AH113" s="84"/>
      <c r="AI113" s="84"/>
      <c r="AJ113" s="86"/>
      <c r="AK113" s="84"/>
      <c r="AL113" s="84"/>
      <c r="AM113" s="84"/>
      <c r="AN113" s="84"/>
      <c r="AO113" s="86"/>
      <c r="AP113" s="84"/>
      <c r="AQ113" s="84"/>
      <c r="AR113" s="84"/>
      <c r="AS113" s="86"/>
      <c r="AT113" s="84"/>
      <c r="AU113" s="84"/>
      <c r="AV113" s="84"/>
      <c r="AW113" s="84"/>
      <c r="AX113" s="85"/>
      <c r="AY113" s="84"/>
      <c r="AZ113" s="84"/>
      <c r="BA113" s="84"/>
      <c r="BB113" s="85"/>
      <c r="BC113" s="84"/>
      <c r="BD113" s="84"/>
      <c r="BE113" s="84"/>
      <c r="BF113" s="84"/>
      <c r="BG113" s="86"/>
      <c r="BH113" s="84"/>
      <c r="BI113" s="84"/>
      <c r="BJ113" s="84"/>
      <c r="BK113" s="84"/>
      <c r="BL113" s="86"/>
      <c r="BM113" s="84"/>
      <c r="BN113" s="84"/>
      <c r="BO113" s="84"/>
      <c r="BP113" s="86"/>
      <c r="BQ113" s="84"/>
      <c r="BR113" s="84"/>
      <c r="BS113" s="84"/>
      <c r="BT113" s="84"/>
      <c r="BU113" s="85"/>
      <c r="BV113" s="84"/>
      <c r="BW113" s="84"/>
      <c r="BX113" s="84"/>
      <c r="BY113" s="85"/>
      <c r="BZ113" s="84"/>
      <c r="CA113" s="84"/>
      <c r="CB113" s="84"/>
      <c r="CC113" s="84"/>
      <c r="CD113" s="86"/>
      <c r="CE113" s="84"/>
      <c r="CF113" s="81"/>
      <c r="CG113" s="53"/>
      <c r="CH113" s="54"/>
      <c r="CI113" s="55"/>
      <c r="CJ113" s="56"/>
      <c r="CK113" s="54"/>
      <c r="CL113" s="57"/>
    </row>
    <row r="114" spans="1:90" ht="26.45" customHeight="1">
      <c r="A114" s="176">
        <v>110</v>
      </c>
      <c r="B114" s="177"/>
      <c r="C114" s="178" t="s">
        <v>360</v>
      </c>
      <c r="D114" s="179"/>
      <c r="E114" s="179"/>
      <c r="F114" s="179"/>
      <c r="G114" s="179"/>
      <c r="H114" s="179"/>
      <c r="I114" s="179"/>
      <c r="J114" s="179"/>
      <c r="K114" s="179"/>
      <c r="L114" s="180"/>
      <c r="M114" s="78"/>
      <c r="N114" s="80"/>
      <c r="O114" s="80"/>
      <c r="P114" s="80"/>
      <c r="Q114" s="80"/>
      <c r="R114" s="78"/>
      <c r="S114" s="80"/>
      <c r="T114" s="80"/>
      <c r="U114" s="80"/>
      <c r="V114" s="78"/>
      <c r="W114" s="80"/>
      <c r="X114" s="80"/>
      <c r="Y114" s="80"/>
      <c r="Z114" s="80"/>
      <c r="AA114" s="80"/>
      <c r="AB114" s="84"/>
      <c r="AC114" s="84"/>
      <c r="AD114" s="84">
        <v>1</v>
      </c>
      <c r="AE114" s="85">
        <v>1</v>
      </c>
      <c r="AF114" s="84"/>
      <c r="AG114" s="84"/>
      <c r="AH114" s="84"/>
      <c r="AI114" s="84"/>
      <c r="AJ114" s="86"/>
      <c r="AK114" s="84"/>
      <c r="AL114" s="84"/>
      <c r="AM114" s="84"/>
      <c r="AN114" s="84"/>
      <c r="AO114" s="86"/>
      <c r="AP114" s="84"/>
      <c r="AQ114" s="84"/>
      <c r="AR114" s="84"/>
      <c r="AS114" s="86"/>
      <c r="AT114" s="84"/>
      <c r="AU114" s="84"/>
      <c r="AV114" s="84"/>
      <c r="AW114" s="84"/>
      <c r="AX114" s="85"/>
      <c r="AY114" s="84"/>
      <c r="AZ114" s="84"/>
      <c r="BA114" s="84"/>
      <c r="BB114" s="85"/>
      <c r="BC114" s="84"/>
      <c r="BD114" s="84"/>
      <c r="BE114" s="84"/>
      <c r="BF114" s="84"/>
      <c r="BG114" s="86"/>
      <c r="BH114" s="84"/>
      <c r="BI114" s="84"/>
      <c r="BJ114" s="84"/>
      <c r="BK114" s="84"/>
      <c r="BL114" s="86"/>
      <c r="BM114" s="84"/>
      <c r="BN114" s="84"/>
      <c r="BO114" s="84"/>
      <c r="BP114" s="86"/>
      <c r="BQ114" s="84"/>
      <c r="BR114" s="84"/>
      <c r="BS114" s="84"/>
      <c r="BT114" s="84"/>
      <c r="BU114" s="85"/>
      <c r="BV114" s="84"/>
      <c r="BW114" s="84"/>
      <c r="BX114" s="84"/>
      <c r="BY114" s="85"/>
      <c r="BZ114" s="84"/>
      <c r="CA114" s="84"/>
      <c r="CB114" s="84"/>
      <c r="CC114" s="84"/>
      <c r="CD114" s="86"/>
      <c r="CE114" s="84"/>
      <c r="CF114" s="81"/>
      <c r="CG114" s="53"/>
      <c r="CH114" s="54"/>
      <c r="CI114" s="55"/>
      <c r="CJ114" s="56"/>
      <c r="CK114" s="54"/>
      <c r="CL114" s="57"/>
    </row>
    <row r="115" spans="1:90" ht="26.45" customHeight="1">
      <c r="A115" s="176">
        <v>111</v>
      </c>
      <c r="B115" s="177"/>
      <c r="C115" s="178" t="s">
        <v>363</v>
      </c>
      <c r="D115" s="179"/>
      <c r="E115" s="179"/>
      <c r="F115" s="179"/>
      <c r="G115" s="179"/>
      <c r="H115" s="179"/>
      <c r="I115" s="179"/>
      <c r="J115" s="179"/>
      <c r="K115" s="179"/>
      <c r="L115" s="180"/>
      <c r="M115" s="78"/>
      <c r="N115" s="80"/>
      <c r="O115" s="80"/>
      <c r="P115" s="80"/>
      <c r="Q115" s="80"/>
      <c r="R115" s="78"/>
      <c r="S115" s="80"/>
      <c r="T115" s="80"/>
      <c r="U115" s="80"/>
      <c r="V115" s="78"/>
      <c r="W115" s="80"/>
      <c r="X115" s="80"/>
      <c r="Y115" s="80"/>
      <c r="Z115" s="80"/>
      <c r="AA115" s="80"/>
      <c r="AB115" s="84"/>
      <c r="AC115" s="84"/>
      <c r="AD115" s="84"/>
      <c r="AE115" s="85"/>
      <c r="AF115" s="84"/>
      <c r="AG115" s="84"/>
      <c r="AH115" s="84"/>
      <c r="AI115" s="84"/>
      <c r="AJ115" s="86"/>
      <c r="AK115" s="84"/>
      <c r="AL115" s="84"/>
      <c r="AM115" s="84"/>
      <c r="AN115" s="84"/>
      <c r="AO115" s="86"/>
      <c r="AP115" s="84"/>
      <c r="AQ115" s="84"/>
      <c r="AR115" s="84"/>
      <c r="AS115" s="86"/>
      <c r="AT115" s="84"/>
      <c r="AU115" s="84"/>
      <c r="AV115" s="84"/>
      <c r="AW115" s="84"/>
      <c r="AX115" s="85"/>
      <c r="AY115" s="84"/>
      <c r="AZ115" s="84"/>
      <c r="BA115" s="84"/>
      <c r="BB115" s="85"/>
      <c r="BC115" s="84"/>
      <c r="BD115" s="84"/>
      <c r="BE115" s="84"/>
      <c r="BF115" s="84"/>
      <c r="BG115" s="86"/>
      <c r="BH115" s="84"/>
      <c r="BI115" s="84"/>
      <c r="BJ115" s="84"/>
      <c r="BK115" s="84"/>
      <c r="BL115" s="86"/>
      <c r="BM115" s="84"/>
      <c r="BN115" s="84"/>
      <c r="BO115" s="84"/>
      <c r="BP115" s="86"/>
      <c r="BQ115" s="84"/>
      <c r="BR115" s="84"/>
      <c r="BS115" s="84"/>
      <c r="BT115" s="84"/>
      <c r="BU115" s="85"/>
      <c r="BV115" s="84"/>
      <c r="BW115" s="84"/>
      <c r="BX115" s="84"/>
      <c r="BY115" s="85"/>
      <c r="BZ115" s="84"/>
      <c r="CA115" s="84"/>
      <c r="CB115" s="84"/>
      <c r="CC115" s="84"/>
      <c r="CD115" s="86"/>
      <c r="CE115" s="84"/>
      <c r="CF115" s="81"/>
      <c r="CG115" s="53"/>
      <c r="CH115" s="54"/>
      <c r="CI115" s="55"/>
      <c r="CJ115" s="56"/>
      <c r="CK115" s="54"/>
      <c r="CL115" s="57"/>
    </row>
    <row r="116" spans="1:90" ht="26.45" customHeight="1">
      <c r="A116" s="176">
        <v>112</v>
      </c>
      <c r="B116" s="177"/>
      <c r="C116" s="178" t="s">
        <v>364</v>
      </c>
      <c r="D116" s="179"/>
      <c r="E116" s="179"/>
      <c r="F116" s="179"/>
      <c r="G116" s="179"/>
      <c r="H116" s="179"/>
      <c r="I116" s="179"/>
      <c r="J116" s="179"/>
      <c r="K116" s="179"/>
      <c r="L116" s="180"/>
      <c r="M116" s="78"/>
      <c r="N116" s="80"/>
      <c r="O116" s="80"/>
      <c r="P116" s="80"/>
      <c r="Q116" s="80"/>
      <c r="R116" s="78"/>
      <c r="S116" s="80"/>
      <c r="T116" s="80"/>
      <c r="U116" s="80"/>
      <c r="V116" s="78"/>
      <c r="W116" s="80"/>
      <c r="X116" s="80"/>
      <c r="Y116" s="80"/>
      <c r="Z116" s="80"/>
      <c r="AA116" s="80"/>
      <c r="AB116" s="84"/>
      <c r="AC116" s="84"/>
      <c r="AD116" s="84"/>
      <c r="AE116" s="85"/>
      <c r="AF116" s="84"/>
      <c r="AG116" s="84"/>
      <c r="AH116" s="84"/>
      <c r="AI116" s="84"/>
      <c r="AJ116" s="86"/>
      <c r="AK116" s="84"/>
      <c r="AL116" s="84"/>
      <c r="AM116" s="84"/>
      <c r="AN116" s="84"/>
      <c r="AO116" s="86"/>
      <c r="AP116" s="84"/>
      <c r="AQ116" s="84"/>
      <c r="AR116" s="84"/>
      <c r="AS116" s="86"/>
      <c r="AT116" s="84"/>
      <c r="AU116" s="84"/>
      <c r="AV116" s="84"/>
      <c r="AW116" s="84"/>
      <c r="AX116" s="85"/>
      <c r="AY116" s="84"/>
      <c r="AZ116" s="84"/>
      <c r="BA116" s="84"/>
      <c r="BB116" s="85"/>
      <c r="BC116" s="84"/>
      <c r="BD116" s="84"/>
      <c r="BE116" s="84"/>
      <c r="BF116" s="84"/>
      <c r="BG116" s="86"/>
      <c r="BH116" s="84"/>
      <c r="BI116" s="84"/>
      <c r="BJ116" s="84"/>
      <c r="BK116" s="84"/>
      <c r="BL116" s="86"/>
      <c r="BM116" s="84"/>
      <c r="BN116" s="84"/>
      <c r="BO116" s="84"/>
      <c r="BP116" s="86"/>
      <c r="BQ116" s="84"/>
      <c r="BR116" s="84"/>
      <c r="BS116" s="84"/>
      <c r="BT116" s="84"/>
      <c r="BU116" s="85"/>
      <c r="BV116" s="84"/>
      <c r="BW116" s="84"/>
      <c r="BX116" s="84"/>
      <c r="BY116" s="85"/>
      <c r="BZ116" s="84"/>
      <c r="CA116" s="84"/>
      <c r="CB116" s="84"/>
      <c r="CC116" s="84"/>
      <c r="CD116" s="86"/>
      <c r="CE116" s="84"/>
      <c r="CF116" s="81"/>
      <c r="CG116" s="53"/>
      <c r="CH116" s="54"/>
      <c r="CI116" s="55"/>
      <c r="CJ116" s="56"/>
      <c r="CK116" s="54"/>
      <c r="CL116" s="57"/>
    </row>
    <row r="117" spans="1:90" ht="26.45" customHeight="1">
      <c r="A117" s="176">
        <v>113</v>
      </c>
      <c r="B117" s="177"/>
      <c r="C117" s="222" t="s">
        <v>399</v>
      </c>
      <c r="D117" s="223"/>
      <c r="E117" s="223"/>
      <c r="F117" s="223"/>
      <c r="G117" s="223"/>
      <c r="H117" s="223"/>
      <c r="I117" s="223"/>
      <c r="J117" s="223"/>
      <c r="K117" s="223"/>
      <c r="L117" s="224"/>
      <c r="M117" s="78"/>
      <c r="N117" s="80"/>
      <c r="O117" s="80"/>
      <c r="P117" s="80"/>
      <c r="Q117" s="80"/>
      <c r="R117" s="78"/>
      <c r="S117" s="80"/>
      <c r="T117" s="80"/>
      <c r="U117" s="80"/>
      <c r="V117" s="78"/>
      <c r="W117" s="80"/>
      <c r="X117" s="80"/>
      <c r="Y117" s="80"/>
      <c r="Z117" s="80"/>
      <c r="AA117" s="80"/>
      <c r="AB117" s="84"/>
      <c r="AC117" s="84"/>
      <c r="AD117" s="84"/>
      <c r="AE117" s="85"/>
      <c r="AF117" s="84"/>
      <c r="AG117" s="84">
        <v>1</v>
      </c>
      <c r="AH117" s="84"/>
      <c r="AI117" s="84"/>
      <c r="AJ117" s="86"/>
      <c r="AK117" s="84"/>
      <c r="AL117" s="84"/>
      <c r="AM117" s="84"/>
      <c r="AN117" s="84"/>
      <c r="AO117" s="86"/>
      <c r="AP117" s="84"/>
      <c r="AQ117" s="84"/>
      <c r="AR117" s="84"/>
      <c r="AS117" s="86"/>
      <c r="AT117" s="84"/>
      <c r="AU117" s="84"/>
      <c r="AV117" s="84"/>
      <c r="AW117" s="84"/>
      <c r="AX117" s="85"/>
      <c r="AY117" s="84"/>
      <c r="AZ117" s="84"/>
      <c r="BA117" s="84"/>
      <c r="BB117" s="85"/>
      <c r="BC117" s="84"/>
      <c r="BD117" s="84"/>
      <c r="BE117" s="84"/>
      <c r="BF117" s="84"/>
      <c r="BG117" s="86"/>
      <c r="BH117" s="84"/>
      <c r="BI117" s="84"/>
      <c r="BJ117" s="84"/>
      <c r="BK117" s="84"/>
      <c r="BL117" s="86"/>
      <c r="BM117" s="84"/>
      <c r="BN117" s="84"/>
      <c r="BO117" s="84"/>
      <c r="BP117" s="86"/>
      <c r="BQ117" s="84"/>
      <c r="BR117" s="84"/>
      <c r="BS117" s="84"/>
      <c r="BT117" s="84"/>
      <c r="BU117" s="85"/>
      <c r="BV117" s="84"/>
      <c r="BW117" s="84"/>
      <c r="BX117" s="84"/>
      <c r="BY117" s="85"/>
      <c r="BZ117" s="84"/>
      <c r="CA117" s="84"/>
      <c r="CB117" s="84"/>
      <c r="CC117" s="84"/>
      <c r="CD117" s="86"/>
      <c r="CE117" s="84"/>
      <c r="CF117" s="81"/>
      <c r="CG117" s="53"/>
      <c r="CH117" s="54"/>
      <c r="CI117" s="55"/>
      <c r="CJ117" s="56"/>
      <c r="CK117" s="54"/>
      <c r="CL117" s="57"/>
    </row>
    <row r="118" spans="1:90" ht="26.45" customHeight="1">
      <c r="A118" s="176">
        <v>114</v>
      </c>
      <c r="B118" s="177"/>
      <c r="C118" s="231" t="s">
        <v>409</v>
      </c>
      <c r="D118" s="232"/>
      <c r="E118" s="232"/>
      <c r="F118" s="232"/>
      <c r="G118" s="232"/>
      <c r="H118" s="232"/>
      <c r="I118" s="232"/>
      <c r="J118" s="232"/>
      <c r="K118" s="232"/>
      <c r="L118" s="233"/>
      <c r="M118" s="78"/>
      <c r="N118" s="80"/>
      <c r="O118" s="80"/>
      <c r="P118" s="80"/>
      <c r="Q118" s="80"/>
      <c r="R118" s="78"/>
      <c r="S118" s="80">
        <v>1</v>
      </c>
      <c r="T118" s="80">
        <v>1</v>
      </c>
      <c r="U118" s="80">
        <v>1</v>
      </c>
      <c r="V118" s="78"/>
      <c r="W118" s="80"/>
      <c r="X118" s="80"/>
      <c r="Y118" s="80"/>
      <c r="Z118" s="80"/>
      <c r="AA118" s="80"/>
      <c r="AB118" s="84"/>
      <c r="AC118" s="84"/>
      <c r="AD118" s="84"/>
      <c r="AE118" s="85"/>
      <c r="AF118" s="84"/>
      <c r="AG118" s="84"/>
      <c r="AH118" s="84"/>
      <c r="AI118" s="84"/>
      <c r="AJ118" s="86"/>
      <c r="AK118" s="84"/>
      <c r="AL118" s="84"/>
      <c r="AM118" s="84"/>
      <c r="AN118" s="84"/>
      <c r="AO118" s="86"/>
      <c r="AP118" s="84"/>
      <c r="AQ118" s="84"/>
      <c r="AR118" s="84"/>
      <c r="AS118" s="86"/>
      <c r="AT118" s="84"/>
      <c r="AU118" s="84"/>
      <c r="AV118" s="84"/>
      <c r="AW118" s="84"/>
      <c r="AX118" s="85"/>
      <c r="AY118" s="84"/>
      <c r="AZ118" s="84"/>
      <c r="BA118" s="84"/>
      <c r="BB118" s="85"/>
      <c r="BC118" s="84"/>
      <c r="BD118" s="84"/>
      <c r="BE118" s="84"/>
      <c r="BF118" s="84"/>
      <c r="BG118" s="86"/>
      <c r="BH118" s="84"/>
      <c r="BI118" s="84"/>
      <c r="BJ118" s="84"/>
      <c r="BK118" s="84"/>
      <c r="BL118" s="86"/>
      <c r="BM118" s="84"/>
      <c r="BN118" s="84"/>
      <c r="BO118" s="84"/>
      <c r="BP118" s="86"/>
      <c r="BQ118" s="84"/>
      <c r="BR118" s="84"/>
      <c r="BS118" s="84"/>
      <c r="BT118" s="84"/>
      <c r="BU118" s="85"/>
      <c r="BV118" s="84"/>
      <c r="BW118" s="84"/>
      <c r="BX118" s="84"/>
      <c r="BY118" s="85"/>
      <c r="BZ118" s="84"/>
      <c r="CA118" s="84"/>
      <c r="CB118" s="84"/>
      <c r="CC118" s="84"/>
      <c r="CD118" s="86"/>
      <c r="CE118" s="84"/>
      <c r="CF118" s="81"/>
      <c r="CG118" s="53"/>
      <c r="CH118" s="54"/>
      <c r="CI118" s="55"/>
      <c r="CJ118" s="56"/>
      <c r="CK118" s="54"/>
      <c r="CL118" s="57"/>
    </row>
    <row r="119" spans="1:90" ht="26.45" customHeight="1">
      <c r="A119" s="176">
        <v>115</v>
      </c>
      <c r="B119" s="177"/>
      <c r="C119" s="222" t="s">
        <v>402</v>
      </c>
      <c r="D119" s="223"/>
      <c r="E119" s="223"/>
      <c r="F119" s="223"/>
      <c r="G119" s="223"/>
      <c r="H119" s="223"/>
      <c r="I119" s="223"/>
      <c r="J119" s="223"/>
      <c r="K119" s="223"/>
      <c r="L119" s="224"/>
      <c r="M119" s="78"/>
      <c r="N119" s="80"/>
      <c r="O119" s="80"/>
      <c r="P119" s="80"/>
      <c r="Q119" s="80"/>
      <c r="R119" s="78"/>
      <c r="S119" s="80"/>
      <c r="T119" s="80"/>
      <c r="U119" s="80"/>
      <c r="V119" s="78"/>
      <c r="W119" s="80"/>
      <c r="X119" s="80"/>
      <c r="Y119" s="80"/>
      <c r="Z119" s="80"/>
      <c r="AA119" s="80"/>
      <c r="AB119" s="84"/>
      <c r="AC119" s="84"/>
      <c r="AD119" s="84"/>
      <c r="AE119" s="85"/>
      <c r="AF119" s="84"/>
      <c r="AG119" s="84"/>
      <c r="AH119" s="84"/>
      <c r="AI119" s="84"/>
      <c r="AJ119" s="86"/>
      <c r="AK119" s="84"/>
      <c r="AL119" s="84"/>
      <c r="AM119" s="84"/>
      <c r="AN119" s="84"/>
      <c r="AO119" s="86"/>
      <c r="AP119" s="84"/>
      <c r="AQ119" s="84"/>
      <c r="AR119" s="84"/>
      <c r="AS119" s="86"/>
      <c r="AT119" s="84"/>
      <c r="AU119" s="84"/>
      <c r="AV119" s="84"/>
      <c r="AW119" s="84"/>
      <c r="AX119" s="85"/>
      <c r="AY119" s="84"/>
      <c r="AZ119" s="84"/>
      <c r="BA119" s="84"/>
      <c r="BB119" s="85"/>
      <c r="BC119" s="84"/>
      <c r="BD119" s="84"/>
      <c r="BE119" s="84"/>
      <c r="BF119" s="84"/>
      <c r="BG119" s="86"/>
      <c r="BH119" s="84"/>
      <c r="BI119" s="84"/>
      <c r="BJ119" s="84"/>
      <c r="BK119" s="84"/>
      <c r="BL119" s="86"/>
      <c r="BM119" s="84"/>
      <c r="BN119" s="84"/>
      <c r="BO119" s="84"/>
      <c r="BP119" s="86"/>
      <c r="BQ119" s="84"/>
      <c r="BR119" s="84"/>
      <c r="BS119" s="84"/>
      <c r="BT119" s="84"/>
      <c r="BU119" s="85"/>
      <c r="BV119" s="84"/>
      <c r="BW119" s="84"/>
      <c r="BX119" s="84"/>
      <c r="BY119" s="85"/>
      <c r="BZ119" s="84"/>
      <c r="CA119" s="84"/>
      <c r="CB119" s="84"/>
      <c r="CC119" s="84"/>
      <c r="CD119" s="86"/>
      <c r="CE119" s="84"/>
      <c r="CF119" s="81"/>
      <c r="CG119" s="53"/>
      <c r="CH119" s="54"/>
      <c r="CI119" s="55"/>
      <c r="CJ119" s="56"/>
      <c r="CK119" s="54"/>
      <c r="CL119" s="57"/>
    </row>
    <row r="120" spans="1:90" ht="26.45" customHeight="1">
      <c r="A120" s="176">
        <v>116</v>
      </c>
      <c r="B120" s="177"/>
      <c r="C120" s="222" t="s">
        <v>403</v>
      </c>
      <c r="D120" s="223"/>
      <c r="E120" s="223"/>
      <c r="F120" s="223"/>
      <c r="G120" s="223"/>
      <c r="H120" s="223"/>
      <c r="I120" s="223"/>
      <c r="J120" s="223"/>
      <c r="K120" s="223"/>
      <c r="L120" s="224"/>
      <c r="M120" s="78"/>
      <c r="N120" s="80"/>
      <c r="O120" s="80"/>
      <c r="P120" s="80"/>
      <c r="Q120" s="80"/>
      <c r="R120" s="78"/>
      <c r="S120" s="80"/>
      <c r="T120" s="80"/>
      <c r="U120" s="80"/>
      <c r="V120" s="78"/>
      <c r="W120" s="80"/>
      <c r="X120" s="80"/>
      <c r="Y120" s="80"/>
      <c r="Z120" s="80"/>
      <c r="AA120" s="80"/>
      <c r="AB120" s="84"/>
      <c r="AC120" s="84"/>
      <c r="AD120" s="84"/>
      <c r="AE120" s="85"/>
      <c r="AF120" s="84"/>
      <c r="AG120" s="84"/>
      <c r="AH120" s="84"/>
      <c r="AI120" s="84"/>
      <c r="AJ120" s="86"/>
      <c r="AK120" s="84"/>
      <c r="AL120" s="84"/>
      <c r="AM120" s="84"/>
      <c r="AN120" s="84"/>
      <c r="AO120" s="86"/>
      <c r="AP120" s="84"/>
      <c r="AQ120" s="84"/>
      <c r="AR120" s="84"/>
      <c r="AS120" s="86"/>
      <c r="AT120" s="84"/>
      <c r="AU120" s="84"/>
      <c r="AV120" s="84"/>
      <c r="AW120" s="84"/>
      <c r="AX120" s="85"/>
      <c r="AY120" s="84"/>
      <c r="AZ120" s="84"/>
      <c r="BA120" s="84"/>
      <c r="BB120" s="85"/>
      <c r="BC120" s="84"/>
      <c r="BD120" s="84"/>
      <c r="BE120" s="84"/>
      <c r="BF120" s="84"/>
      <c r="BG120" s="86"/>
      <c r="BH120" s="84"/>
      <c r="BI120" s="84"/>
      <c r="BJ120" s="84"/>
      <c r="BK120" s="84"/>
      <c r="BL120" s="86"/>
      <c r="BM120" s="84"/>
      <c r="BN120" s="84"/>
      <c r="BO120" s="84"/>
      <c r="BP120" s="86"/>
      <c r="BQ120" s="84"/>
      <c r="BR120" s="84"/>
      <c r="BS120" s="84"/>
      <c r="BT120" s="84"/>
      <c r="BU120" s="85"/>
      <c r="BV120" s="84"/>
      <c r="BW120" s="84"/>
      <c r="BX120" s="84"/>
      <c r="BY120" s="85"/>
      <c r="BZ120" s="84"/>
      <c r="CA120" s="84"/>
      <c r="CB120" s="84"/>
      <c r="CC120" s="84"/>
      <c r="CD120" s="86"/>
      <c r="CE120" s="84"/>
      <c r="CF120" s="81"/>
      <c r="CG120" s="53"/>
      <c r="CH120" s="54"/>
      <c r="CI120" s="55"/>
      <c r="CJ120" s="56"/>
      <c r="CK120" s="54"/>
      <c r="CL120" s="57"/>
    </row>
    <row r="121" spans="1:90" ht="26.45" customHeight="1">
      <c r="A121" s="176">
        <v>117</v>
      </c>
      <c r="B121" s="177"/>
      <c r="C121" s="222" t="s">
        <v>407</v>
      </c>
      <c r="D121" s="223"/>
      <c r="E121" s="223"/>
      <c r="F121" s="223"/>
      <c r="G121" s="223"/>
      <c r="H121" s="223"/>
      <c r="I121" s="223"/>
      <c r="J121" s="223"/>
      <c r="K121" s="223"/>
      <c r="L121" s="224"/>
      <c r="M121" s="78"/>
      <c r="N121" s="80"/>
      <c r="O121" s="80"/>
      <c r="P121" s="80"/>
      <c r="Q121" s="80"/>
      <c r="R121" s="78"/>
      <c r="S121" s="80"/>
      <c r="T121" s="80"/>
      <c r="U121" s="80"/>
      <c r="V121" s="78"/>
      <c r="W121" s="80"/>
      <c r="X121" s="80"/>
      <c r="Y121" s="80"/>
      <c r="Z121" s="80"/>
      <c r="AA121" s="80"/>
      <c r="AB121" s="84"/>
      <c r="AC121" s="84"/>
      <c r="AD121" s="84"/>
      <c r="AE121" s="85"/>
      <c r="AF121" s="84"/>
      <c r="AG121" s="84"/>
      <c r="AH121" s="84"/>
      <c r="AI121" s="84"/>
      <c r="AJ121" s="86"/>
      <c r="AK121" s="84"/>
      <c r="AL121" s="84"/>
      <c r="AM121" s="84"/>
      <c r="AN121" s="84"/>
      <c r="AO121" s="86"/>
      <c r="AP121" s="84"/>
      <c r="AQ121" s="84"/>
      <c r="AR121" s="84"/>
      <c r="AS121" s="86"/>
      <c r="AT121" s="84"/>
      <c r="AU121" s="84"/>
      <c r="AV121" s="84"/>
      <c r="AW121" s="84"/>
      <c r="AX121" s="85"/>
      <c r="AY121" s="84"/>
      <c r="AZ121" s="84"/>
      <c r="BA121" s="84"/>
      <c r="BB121" s="85"/>
      <c r="BC121" s="84"/>
      <c r="BD121" s="84"/>
      <c r="BE121" s="84"/>
      <c r="BF121" s="84"/>
      <c r="BG121" s="86"/>
      <c r="BH121" s="84"/>
      <c r="BI121" s="84"/>
      <c r="BJ121" s="84"/>
      <c r="BK121" s="84"/>
      <c r="BL121" s="86"/>
      <c r="BM121" s="84"/>
      <c r="BN121" s="84"/>
      <c r="BO121" s="84"/>
      <c r="BP121" s="86"/>
      <c r="BQ121" s="84"/>
      <c r="BR121" s="84"/>
      <c r="BS121" s="84"/>
      <c r="BT121" s="84"/>
      <c r="BU121" s="85"/>
      <c r="BV121" s="84"/>
      <c r="BW121" s="84"/>
      <c r="BX121" s="84"/>
      <c r="BY121" s="85"/>
      <c r="BZ121" s="84"/>
      <c r="CA121" s="84"/>
      <c r="CB121" s="84"/>
      <c r="CC121" s="84"/>
      <c r="CD121" s="86"/>
      <c r="CE121" s="84"/>
      <c r="CF121" s="81"/>
      <c r="CG121" s="53"/>
      <c r="CH121" s="54"/>
      <c r="CI121" s="55"/>
      <c r="CJ121" s="56"/>
      <c r="CK121" s="54"/>
      <c r="CL121" s="57"/>
    </row>
    <row r="122" spans="1:90" ht="26.45" customHeight="1">
      <c r="A122" s="176">
        <v>118</v>
      </c>
      <c r="B122" s="177"/>
      <c r="C122" s="222" t="s">
        <v>406</v>
      </c>
      <c r="D122" s="223"/>
      <c r="E122" s="223"/>
      <c r="F122" s="223"/>
      <c r="G122" s="223"/>
      <c r="H122" s="223"/>
      <c r="I122" s="223"/>
      <c r="J122" s="223"/>
      <c r="K122" s="223"/>
      <c r="L122" s="224"/>
      <c r="M122" s="78"/>
      <c r="N122" s="80"/>
      <c r="O122" s="80"/>
      <c r="P122" s="80"/>
      <c r="Q122" s="80"/>
      <c r="R122" s="78"/>
      <c r="S122" s="80"/>
      <c r="T122" s="80"/>
      <c r="U122" s="80"/>
      <c r="V122" s="78"/>
      <c r="W122" s="80"/>
      <c r="X122" s="80"/>
      <c r="Y122" s="80"/>
      <c r="Z122" s="80"/>
      <c r="AA122" s="80"/>
      <c r="AB122" s="84"/>
      <c r="AC122" s="84"/>
      <c r="AD122" s="84"/>
      <c r="AE122" s="85"/>
      <c r="AF122" s="84"/>
      <c r="AG122" s="84"/>
      <c r="AH122" s="84"/>
      <c r="AI122" s="84"/>
      <c r="AJ122" s="86"/>
      <c r="AK122" s="84"/>
      <c r="AL122" s="84"/>
      <c r="AM122" s="84"/>
      <c r="AN122" s="84"/>
      <c r="AO122" s="86"/>
      <c r="AP122" s="84"/>
      <c r="AQ122" s="84"/>
      <c r="AR122" s="84"/>
      <c r="AS122" s="86"/>
      <c r="AT122" s="84"/>
      <c r="AU122" s="84"/>
      <c r="AV122" s="84"/>
      <c r="AW122" s="84"/>
      <c r="AX122" s="85"/>
      <c r="AY122" s="84"/>
      <c r="AZ122" s="84"/>
      <c r="BA122" s="84"/>
      <c r="BB122" s="85"/>
      <c r="BC122" s="84"/>
      <c r="BD122" s="84"/>
      <c r="BE122" s="84"/>
      <c r="BF122" s="84"/>
      <c r="BG122" s="86"/>
      <c r="BH122" s="84"/>
      <c r="BI122" s="84"/>
      <c r="BJ122" s="84"/>
      <c r="BK122" s="84"/>
      <c r="BL122" s="86"/>
      <c r="BM122" s="84"/>
      <c r="BN122" s="84"/>
      <c r="BO122" s="84"/>
      <c r="BP122" s="86"/>
      <c r="BQ122" s="84"/>
      <c r="BR122" s="84"/>
      <c r="BS122" s="84"/>
      <c r="BT122" s="84"/>
      <c r="BU122" s="85"/>
      <c r="BV122" s="84"/>
      <c r="BW122" s="84"/>
      <c r="BX122" s="84"/>
      <c r="BY122" s="85"/>
      <c r="BZ122" s="84"/>
      <c r="CA122" s="84"/>
      <c r="CB122" s="84"/>
      <c r="CC122" s="84"/>
      <c r="CD122" s="86"/>
      <c r="CE122" s="84"/>
      <c r="CF122" s="81"/>
      <c r="CG122" s="53"/>
      <c r="CH122" s="54"/>
      <c r="CI122" s="55"/>
      <c r="CJ122" s="56"/>
      <c r="CK122" s="54"/>
      <c r="CL122" s="57"/>
    </row>
    <row r="123" spans="1:90" ht="26.45" customHeight="1">
      <c r="A123" s="176">
        <v>119</v>
      </c>
      <c r="B123" s="177"/>
      <c r="C123" s="178" t="s">
        <v>405</v>
      </c>
      <c r="D123" s="179"/>
      <c r="E123" s="179"/>
      <c r="F123" s="179"/>
      <c r="G123" s="179"/>
      <c r="H123" s="179"/>
      <c r="I123" s="179"/>
      <c r="J123" s="179"/>
      <c r="K123" s="179"/>
      <c r="L123" s="180"/>
      <c r="M123" s="78"/>
      <c r="N123" s="80"/>
      <c r="O123" s="80"/>
      <c r="P123" s="80"/>
      <c r="Q123" s="80"/>
      <c r="R123" s="78"/>
      <c r="S123" s="80"/>
      <c r="T123" s="80"/>
      <c r="U123" s="80"/>
      <c r="V123" s="78"/>
      <c r="W123" s="80"/>
      <c r="X123" s="80"/>
      <c r="Y123" s="80"/>
      <c r="Z123" s="80"/>
      <c r="AA123" s="80"/>
      <c r="AB123" s="84"/>
      <c r="AC123" s="84"/>
      <c r="AD123" s="84"/>
      <c r="AE123" s="85"/>
      <c r="AF123" s="84"/>
      <c r="AG123" s="84"/>
      <c r="AH123" s="84"/>
      <c r="AI123" s="84"/>
      <c r="AJ123" s="86"/>
      <c r="AK123" s="84"/>
      <c r="AL123" s="84"/>
      <c r="AM123" s="84"/>
      <c r="AN123" s="84"/>
      <c r="AO123" s="86"/>
      <c r="AP123" s="84"/>
      <c r="AQ123" s="84"/>
      <c r="AR123" s="84"/>
      <c r="AS123" s="86"/>
      <c r="AT123" s="84"/>
      <c r="AU123" s="84"/>
      <c r="AV123" s="84"/>
      <c r="AW123" s="84"/>
      <c r="AX123" s="85"/>
      <c r="AY123" s="84"/>
      <c r="AZ123" s="84"/>
      <c r="BA123" s="84"/>
      <c r="BB123" s="85"/>
      <c r="BC123" s="84"/>
      <c r="BD123" s="84"/>
      <c r="BE123" s="84"/>
      <c r="BF123" s="84"/>
      <c r="BG123" s="86"/>
      <c r="BH123" s="84"/>
      <c r="BI123" s="84"/>
      <c r="BJ123" s="84"/>
      <c r="BK123" s="84"/>
      <c r="BL123" s="86"/>
      <c r="BM123" s="84"/>
      <c r="BN123" s="84"/>
      <c r="BO123" s="84"/>
      <c r="BP123" s="86"/>
      <c r="BQ123" s="84"/>
      <c r="BR123" s="84"/>
      <c r="BS123" s="84"/>
      <c r="BT123" s="84"/>
      <c r="BU123" s="85"/>
      <c r="BV123" s="84"/>
      <c r="BW123" s="84"/>
      <c r="BX123" s="84"/>
      <c r="BY123" s="85"/>
      <c r="BZ123" s="84"/>
      <c r="CA123" s="84"/>
      <c r="CB123" s="84"/>
      <c r="CC123" s="84"/>
      <c r="CD123" s="86"/>
      <c r="CE123" s="84"/>
      <c r="CF123" s="81"/>
      <c r="CG123" s="53"/>
      <c r="CH123" s="54"/>
      <c r="CI123" s="55"/>
      <c r="CJ123" s="56"/>
      <c r="CK123" s="54"/>
      <c r="CL123" s="57"/>
    </row>
    <row r="124" spans="1:90" ht="26.45" customHeight="1">
      <c r="A124" s="176">
        <v>120</v>
      </c>
      <c r="B124" s="177"/>
      <c r="C124" s="178" t="s">
        <v>396</v>
      </c>
      <c r="D124" s="179"/>
      <c r="E124" s="179"/>
      <c r="F124" s="179"/>
      <c r="G124" s="179"/>
      <c r="H124" s="179"/>
      <c r="I124" s="179"/>
      <c r="J124" s="179"/>
      <c r="K124" s="179"/>
      <c r="L124" s="180"/>
      <c r="M124" s="78"/>
      <c r="N124" s="80"/>
      <c r="O124" s="80"/>
      <c r="P124" s="80"/>
      <c r="Q124" s="80"/>
      <c r="R124" s="78"/>
      <c r="S124" s="80"/>
      <c r="T124" s="80"/>
      <c r="U124" s="80"/>
      <c r="V124" s="78"/>
      <c r="W124" s="80"/>
      <c r="X124" s="80"/>
      <c r="Y124" s="80"/>
      <c r="Z124" s="80"/>
      <c r="AA124" s="80"/>
      <c r="AB124" s="84"/>
      <c r="AC124" s="84"/>
      <c r="AD124" s="84"/>
      <c r="AE124" s="85"/>
      <c r="AF124" s="84"/>
      <c r="AG124" s="84"/>
      <c r="AH124" s="84"/>
      <c r="AI124" s="84"/>
      <c r="AJ124" s="86"/>
      <c r="AK124" s="84"/>
      <c r="AL124" s="84"/>
      <c r="AM124" s="84"/>
      <c r="AN124" s="84"/>
      <c r="AO124" s="86"/>
      <c r="AP124" s="84"/>
      <c r="AQ124" s="84"/>
      <c r="AR124" s="84"/>
      <c r="AS124" s="86"/>
      <c r="AT124" s="84"/>
      <c r="AU124" s="84"/>
      <c r="AV124" s="84"/>
      <c r="AW124" s="84"/>
      <c r="AX124" s="85"/>
      <c r="AY124" s="84"/>
      <c r="AZ124" s="84"/>
      <c r="BA124" s="84"/>
      <c r="BB124" s="85"/>
      <c r="BC124" s="84"/>
      <c r="BD124" s="84"/>
      <c r="BE124" s="84"/>
      <c r="BF124" s="84"/>
      <c r="BG124" s="86"/>
      <c r="BH124" s="84"/>
      <c r="BI124" s="84"/>
      <c r="BJ124" s="84"/>
      <c r="BK124" s="84"/>
      <c r="BL124" s="86"/>
      <c r="BM124" s="84"/>
      <c r="BN124" s="84"/>
      <c r="BO124" s="84"/>
      <c r="BP124" s="86"/>
      <c r="BQ124" s="84"/>
      <c r="BR124" s="84"/>
      <c r="BS124" s="84"/>
      <c r="BT124" s="84"/>
      <c r="BU124" s="85"/>
      <c r="BV124" s="84"/>
      <c r="BW124" s="84"/>
      <c r="BX124" s="84"/>
      <c r="BY124" s="85"/>
      <c r="BZ124" s="84"/>
      <c r="CA124" s="84"/>
      <c r="CB124" s="84"/>
      <c r="CC124" s="84"/>
      <c r="CD124" s="86"/>
      <c r="CE124" s="84"/>
      <c r="CF124" s="81"/>
      <c r="CG124" s="53"/>
      <c r="CH124" s="54"/>
      <c r="CI124" s="55"/>
      <c r="CJ124" s="56"/>
      <c r="CK124" s="54"/>
      <c r="CL124" s="57"/>
    </row>
    <row r="125" spans="1:90" ht="26.45" customHeight="1">
      <c r="A125" s="176">
        <v>121</v>
      </c>
      <c r="B125" s="177"/>
      <c r="C125" s="178" t="s">
        <v>397</v>
      </c>
      <c r="D125" s="179"/>
      <c r="E125" s="179"/>
      <c r="F125" s="179"/>
      <c r="G125" s="179"/>
      <c r="H125" s="179"/>
      <c r="I125" s="179"/>
      <c r="J125" s="179"/>
      <c r="K125" s="179"/>
      <c r="L125" s="180"/>
      <c r="M125" s="78"/>
      <c r="N125" s="80"/>
      <c r="O125" s="80"/>
      <c r="P125" s="80"/>
      <c r="Q125" s="80"/>
      <c r="R125" s="78"/>
      <c r="S125" s="80"/>
      <c r="T125" s="80"/>
      <c r="U125" s="80"/>
      <c r="V125" s="78"/>
      <c r="W125" s="80"/>
      <c r="X125" s="80"/>
      <c r="Y125" s="80"/>
      <c r="Z125" s="80"/>
      <c r="AA125" s="80"/>
      <c r="AB125" s="84"/>
      <c r="AC125" s="84"/>
      <c r="AD125" s="84"/>
      <c r="AE125" s="85"/>
      <c r="AF125" s="84"/>
      <c r="AG125" s="84"/>
      <c r="AH125" s="84"/>
      <c r="AI125" s="84"/>
      <c r="AJ125" s="86"/>
      <c r="AK125" s="84"/>
      <c r="AL125" s="84"/>
      <c r="AM125" s="84"/>
      <c r="AN125" s="84"/>
      <c r="AO125" s="86"/>
      <c r="AP125" s="84"/>
      <c r="AQ125" s="84"/>
      <c r="AR125" s="84"/>
      <c r="AS125" s="86"/>
      <c r="AT125" s="84"/>
      <c r="AU125" s="84"/>
      <c r="AV125" s="84"/>
      <c r="AW125" s="84"/>
      <c r="AX125" s="85"/>
      <c r="AY125" s="84"/>
      <c r="AZ125" s="84"/>
      <c r="BA125" s="84"/>
      <c r="BB125" s="85"/>
      <c r="BC125" s="84"/>
      <c r="BD125" s="84"/>
      <c r="BE125" s="84"/>
      <c r="BF125" s="84"/>
      <c r="BG125" s="86"/>
      <c r="BH125" s="84"/>
      <c r="BI125" s="84"/>
      <c r="BJ125" s="84"/>
      <c r="BK125" s="84"/>
      <c r="BL125" s="86"/>
      <c r="BM125" s="84"/>
      <c r="BN125" s="84"/>
      <c r="BO125" s="84"/>
      <c r="BP125" s="86"/>
      <c r="BQ125" s="84"/>
      <c r="BR125" s="84"/>
      <c r="BS125" s="84"/>
      <c r="BT125" s="84"/>
      <c r="BU125" s="85"/>
      <c r="BV125" s="84"/>
      <c r="BW125" s="84"/>
      <c r="BX125" s="84"/>
      <c r="BY125" s="85"/>
      <c r="BZ125" s="84"/>
      <c r="CA125" s="84"/>
      <c r="CB125" s="84"/>
      <c r="CC125" s="84"/>
      <c r="CD125" s="86"/>
      <c r="CE125" s="84"/>
      <c r="CF125" s="81"/>
      <c r="CG125" s="53"/>
      <c r="CH125" s="54"/>
      <c r="CI125" s="55"/>
      <c r="CJ125" s="56"/>
      <c r="CK125" s="54"/>
      <c r="CL125" s="57"/>
    </row>
    <row r="126" spans="1:90" ht="26.45" customHeight="1">
      <c r="A126" s="176">
        <v>122</v>
      </c>
      <c r="B126" s="177"/>
      <c r="C126" s="178" t="s">
        <v>398</v>
      </c>
      <c r="D126" s="179"/>
      <c r="E126" s="179"/>
      <c r="F126" s="179"/>
      <c r="G126" s="179"/>
      <c r="H126" s="179"/>
      <c r="I126" s="179"/>
      <c r="J126" s="179"/>
      <c r="K126" s="179"/>
      <c r="L126" s="180"/>
      <c r="M126" s="78"/>
      <c r="N126" s="80"/>
      <c r="O126" s="80"/>
      <c r="P126" s="80"/>
      <c r="Q126" s="80"/>
      <c r="R126" s="78"/>
      <c r="S126" s="80"/>
      <c r="T126" s="80"/>
      <c r="U126" s="80"/>
      <c r="V126" s="78"/>
      <c r="W126" s="80"/>
      <c r="X126" s="80"/>
      <c r="Y126" s="80"/>
      <c r="Z126" s="80"/>
      <c r="AA126" s="80"/>
      <c r="AB126" s="84"/>
      <c r="AC126" s="84"/>
      <c r="AD126" s="84"/>
      <c r="AE126" s="85"/>
      <c r="AF126" s="84"/>
      <c r="AG126" s="84"/>
      <c r="AH126" s="84"/>
      <c r="AI126" s="84"/>
      <c r="AJ126" s="86"/>
      <c r="AK126" s="84"/>
      <c r="AL126" s="84"/>
      <c r="AM126" s="84"/>
      <c r="AN126" s="84"/>
      <c r="AO126" s="86"/>
      <c r="AP126" s="84"/>
      <c r="AQ126" s="84"/>
      <c r="AR126" s="84"/>
      <c r="AS126" s="86"/>
      <c r="AT126" s="84"/>
      <c r="AU126" s="84"/>
      <c r="AV126" s="84"/>
      <c r="AW126" s="84"/>
      <c r="AX126" s="85"/>
      <c r="AY126" s="84"/>
      <c r="AZ126" s="84"/>
      <c r="BA126" s="84"/>
      <c r="BB126" s="85"/>
      <c r="BC126" s="84"/>
      <c r="BD126" s="84"/>
      <c r="BE126" s="84"/>
      <c r="BF126" s="84"/>
      <c r="BG126" s="86"/>
      <c r="BH126" s="84"/>
      <c r="BI126" s="84"/>
      <c r="BJ126" s="84"/>
      <c r="BK126" s="84"/>
      <c r="BL126" s="86"/>
      <c r="BM126" s="84"/>
      <c r="BN126" s="84"/>
      <c r="BO126" s="84"/>
      <c r="BP126" s="86"/>
      <c r="BQ126" s="84"/>
      <c r="BR126" s="84"/>
      <c r="BS126" s="84"/>
      <c r="BT126" s="84"/>
      <c r="BU126" s="85"/>
      <c r="BV126" s="84"/>
      <c r="BW126" s="84"/>
      <c r="BX126" s="84"/>
      <c r="BY126" s="85"/>
      <c r="BZ126" s="84"/>
      <c r="CA126" s="84"/>
      <c r="CB126" s="84"/>
      <c r="CC126" s="84"/>
      <c r="CD126" s="86"/>
      <c r="CE126" s="84"/>
      <c r="CF126" s="81"/>
      <c r="CG126" s="53"/>
      <c r="CH126" s="54"/>
      <c r="CI126" s="55"/>
      <c r="CJ126" s="56"/>
      <c r="CK126" s="54"/>
      <c r="CL126" s="57"/>
    </row>
    <row r="127" spans="1:90" ht="26.45" customHeight="1">
      <c r="A127" s="176">
        <v>123</v>
      </c>
      <c r="B127" s="177"/>
      <c r="C127" s="17" t="s">
        <v>400</v>
      </c>
      <c r="M127" s="78"/>
      <c r="N127" s="80"/>
      <c r="O127" s="80"/>
      <c r="P127" s="80"/>
      <c r="Q127" s="80"/>
      <c r="R127" s="78"/>
      <c r="S127" s="80"/>
      <c r="T127" s="80"/>
      <c r="U127" s="80"/>
      <c r="V127" s="78"/>
      <c r="W127" s="80"/>
      <c r="X127" s="80"/>
      <c r="Y127" s="80"/>
      <c r="Z127" s="80"/>
      <c r="AA127" s="80"/>
      <c r="AB127" s="84"/>
      <c r="AC127" s="84"/>
      <c r="AD127" s="84"/>
      <c r="AE127" s="85"/>
      <c r="AF127" s="84"/>
      <c r="AG127" s="84"/>
      <c r="AH127" s="84"/>
      <c r="AI127" s="84"/>
      <c r="AJ127" s="86"/>
      <c r="AK127" s="84"/>
      <c r="AL127" s="84"/>
      <c r="AM127" s="84"/>
      <c r="AN127" s="84"/>
      <c r="AO127" s="86"/>
      <c r="AP127" s="84"/>
      <c r="AQ127" s="84"/>
      <c r="AR127" s="84"/>
      <c r="AS127" s="86"/>
      <c r="AT127" s="84"/>
      <c r="AU127" s="84"/>
      <c r="AV127" s="84"/>
      <c r="AW127" s="84"/>
      <c r="AX127" s="85"/>
      <c r="AY127" s="84"/>
      <c r="AZ127" s="84"/>
      <c r="BA127" s="84"/>
      <c r="BB127" s="85"/>
      <c r="BC127" s="84"/>
      <c r="BD127" s="84"/>
      <c r="BE127" s="84"/>
      <c r="BF127" s="84"/>
      <c r="BG127" s="86"/>
      <c r="BH127" s="84"/>
      <c r="BI127" s="84"/>
      <c r="BJ127" s="84"/>
      <c r="BK127" s="84"/>
      <c r="BL127" s="86"/>
      <c r="BM127" s="84"/>
      <c r="BN127" s="84"/>
      <c r="BO127" s="84"/>
      <c r="BP127" s="86"/>
      <c r="BQ127" s="84"/>
      <c r="BR127" s="84"/>
      <c r="BS127" s="84"/>
      <c r="BT127" s="84"/>
      <c r="BU127" s="85"/>
      <c r="BV127" s="84"/>
      <c r="BW127" s="84"/>
      <c r="BX127" s="84"/>
      <c r="BY127" s="85"/>
      <c r="BZ127" s="84"/>
      <c r="CA127" s="84"/>
      <c r="CB127" s="84"/>
      <c r="CC127" s="84"/>
      <c r="CD127" s="86"/>
      <c r="CE127" s="84"/>
      <c r="CF127" s="81"/>
      <c r="CG127" s="53"/>
      <c r="CH127" s="54"/>
      <c r="CI127" s="55"/>
      <c r="CJ127" s="56"/>
      <c r="CK127" s="54"/>
      <c r="CL127" s="57"/>
    </row>
    <row r="128" spans="1:90" ht="26.45" customHeight="1">
      <c r="A128" s="176">
        <v>124</v>
      </c>
      <c r="B128" s="177"/>
      <c r="C128" s="178" t="s">
        <v>404</v>
      </c>
      <c r="D128" s="179"/>
      <c r="E128" s="179"/>
      <c r="F128" s="179"/>
      <c r="G128" s="179"/>
      <c r="H128" s="179"/>
      <c r="I128" s="179"/>
      <c r="J128" s="179"/>
      <c r="K128" s="179"/>
      <c r="L128" s="180"/>
      <c r="M128" s="78"/>
      <c r="N128" s="80"/>
      <c r="O128" s="80"/>
      <c r="P128" s="80"/>
      <c r="Q128" s="80"/>
      <c r="R128" s="78"/>
      <c r="S128" s="80"/>
      <c r="T128" s="80"/>
      <c r="U128" s="80"/>
      <c r="V128" s="78"/>
      <c r="W128" s="80"/>
      <c r="X128" s="80"/>
      <c r="Y128" s="80"/>
      <c r="Z128" s="80"/>
      <c r="AA128" s="80"/>
      <c r="AB128" s="84"/>
      <c r="AC128" s="84"/>
      <c r="AD128" s="84"/>
      <c r="AE128" s="85"/>
      <c r="AF128" s="84"/>
      <c r="AG128" s="84"/>
      <c r="AH128" s="84"/>
      <c r="AI128" s="84"/>
      <c r="AJ128" s="86"/>
      <c r="AK128" s="84"/>
      <c r="AL128" s="84"/>
      <c r="AM128" s="84"/>
      <c r="AN128" s="84"/>
      <c r="AO128" s="86"/>
      <c r="AP128" s="84"/>
      <c r="AQ128" s="84"/>
      <c r="AR128" s="84"/>
      <c r="AS128" s="86"/>
      <c r="AT128" s="84"/>
      <c r="AU128" s="84"/>
      <c r="AV128" s="84"/>
      <c r="AW128" s="84"/>
      <c r="AX128" s="85"/>
      <c r="AY128" s="84"/>
      <c r="AZ128" s="84"/>
      <c r="BA128" s="84"/>
      <c r="BB128" s="85"/>
      <c r="BC128" s="84"/>
      <c r="BD128" s="84"/>
      <c r="BE128" s="84"/>
      <c r="BF128" s="84"/>
      <c r="BG128" s="86"/>
      <c r="BH128" s="84"/>
      <c r="BI128" s="84"/>
      <c r="BJ128" s="84"/>
      <c r="BK128" s="84"/>
      <c r="BL128" s="86"/>
      <c r="BM128" s="84"/>
      <c r="BN128" s="84"/>
      <c r="BO128" s="84"/>
      <c r="BP128" s="86"/>
      <c r="BQ128" s="84"/>
      <c r="BR128" s="84"/>
      <c r="BS128" s="84"/>
      <c r="BT128" s="84"/>
      <c r="BU128" s="85"/>
      <c r="BV128" s="84"/>
      <c r="BW128" s="84"/>
      <c r="BX128" s="84"/>
      <c r="BY128" s="85"/>
      <c r="BZ128" s="84"/>
      <c r="CA128" s="84"/>
      <c r="CB128" s="84"/>
      <c r="CC128" s="84"/>
      <c r="CD128" s="86"/>
      <c r="CE128" s="84"/>
      <c r="CF128" s="81"/>
      <c r="CG128" s="53"/>
      <c r="CH128" s="54"/>
      <c r="CI128" s="55"/>
      <c r="CJ128" s="56"/>
      <c r="CK128" s="54"/>
      <c r="CL128" s="57"/>
    </row>
    <row r="129" spans="1:90" ht="26.45" customHeight="1">
      <c r="A129" s="176">
        <v>125</v>
      </c>
      <c r="B129" s="177"/>
      <c r="C129" s="178" t="s">
        <v>408</v>
      </c>
      <c r="D129" s="179"/>
      <c r="E129" s="179"/>
      <c r="F129" s="179"/>
      <c r="G129" s="179"/>
      <c r="H129" s="179"/>
      <c r="I129" s="179"/>
      <c r="J129" s="179"/>
      <c r="K129" s="179"/>
      <c r="L129" s="180"/>
      <c r="M129" s="78"/>
      <c r="N129" s="80"/>
      <c r="O129" s="80"/>
      <c r="P129" s="80"/>
      <c r="Q129" s="80"/>
      <c r="R129" s="78"/>
      <c r="S129" s="80"/>
      <c r="T129" s="80"/>
      <c r="U129" s="80"/>
      <c r="V129" s="78"/>
      <c r="W129" s="80">
        <v>1</v>
      </c>
      <c r="X129" s="80"/>
      <c r="Y129" s="80"/>
      <c r="Z129" s="80"/>
      <c r="AA129" s="80"/>
      <c r="AB129" s="84"/>
      <c r="AC129" s="84"/>
      <c r="AD129" s="84"/>
      <c r="AE129" s="85"/>
      <c r="AF129" s="84"/>
      <c r="AG129" s="84"/>
      <c r="AH129" s="84"/>
      <c r="AI129" s="84"/>
      <c r="AJ129" s="86"/>
      <c r="AK129" s="84"/>
      <c r="AL129" s="84"/>
      <c r="AM129" s="84"/>
      <c r="AN129" s="84"/>
      <c r="AO129" s="86"/>
      <c r="AP129" s="84"/>
      <c r="AQ129" s="84"/>
      <c r="AR129" s="84"/>
      <c r="AS129" s="86"/>
      <c r="AT129" s="84"/>
      <c r="AU129" s="84"/>
      <c r="AV129" s="84"/>
      <c r="AW129" s="84"/>
      <c r="AX129" s="85"/>
      <c r="AY129" s="84"/>
      <c r="AZ129" s="84"/>
      <c r="BA129" s="84"/>
      <c r="BB129" s="85"/>
      <c r="BC129" s="84"/>
      <c r="BD129" s="84"/>
      <c r="BE129" s="84"/>
      <c r="BF129" s="84"/>
      <c r="BG129" s="86"/>
      <c r="BH129" s="84"/>
      <c r="BI129" s="84"/>
      <c r="BJ129" s="84"/>
      <c r="BK129" s="84"/>
      <c r="BL129" s="86"/>
      <c r="BM129" s="84"/>
      <c r="BN129" s="84"/>
      <c r="BO129" s="84"/>
      <c r="BP129" s="86"/>
      <c r="BQ129" s="84"/>
      <c r="BR129" s="84"/>
      <c r="BS129" s="84"/>
      <c r="BT129" s="84"/>
      <c r="BU129" s="85"/>
      <c r="BV129" s="84"/>
      <c r="BW129" s="84"/>
      <c r="BX129" s="84"/>
      <c r="BY129" s="85"/>
      <c r="BZ129" s="84"/>
      <c r="CA129" s="84"/>
      <c r="CB129" s="84"/>
      <c r="CC129" s="84"/>
      <c r="CD129" s="86"/>
      <c r="CE129" s="84"/>
      <c r="CF129" s="81"/>
      <c r="CG129" s="53"/>
      <c r="CH129" s="54"/>
      <c r="CI129" s="55"/>
      <c r="CJ129" s="56"/>
      <c r="CK129" s="54"/>
      <c r="CL129" s="57"/>
    </row>
    <row r="130" spans="1:90" ht="27" customHeight="1">
      <c r="A130" s="31" t="s">
        <v>61</v>
      </c>
      <c r="O130" s="35"/>
    </row>
    <row r="131" spans="1:90" ht="27" customHeight="1">
      <c r="A131" s="32"/>
      <c r="O131" s="35"/>
    </row>
    <row r="132" spans="1:90" ht="27" customHeight="1">
      <c r="A132" s="199" t="s">
        <v>62</v>
      </c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  <c r="AB132" s="199"/>
      <c r="AC132" s="199"/>
      <c r="AD132" s="199"/>
      <c r="AE132" s="199"/>
      <c r="AF132" s="199"/>
      <c r="AG132" s="199"/>
      <c r="AH132" s="199"/>
      <c r="AI132" s="199"/>
      <c r="AJ132" s="199"/>
      <c r="AK132" s="199"/>
      <c r="AL132" s="199"/>
      <c r="AM132" s="199"/>
      <c r="AN132" s="199"/>
      <c r="AO132" s="199"/>
      <c r="AP132" s="199"/>
      <c r="AQ132" s="199"/>
      <c r="AR132" s="199"/>
      <c r="AS132" s="199"/>
      <c r="AT132" s="199"/>
      <c r="AU132" s="199"/>
      <c r="AV132" s="199"/>
      <c r="AW132" s="199"/>
    </row>
    <row r="133" spans="1:90" ht="3.6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</row>
    <row r="134" spans="1:90" ht="27" customHeight="1">
      <c r="A134" s="187" t="s">
        <v>1</v>
      </c>
      <c r="B134" s="188"/>
      <c r="C134" s="187" t="s">
        <v>63</v>
      </c>
      <c r="D134" s="191"/>
      <c r="E134" s="191"/>
      <c r="F134" s="191"/>
      <c r="G134" s="191"/>
      <c r="H134" s="191"/>
      <c r="I134" s="191"/>
      <c r="J134" s="191"/>
      <c r="K134" s="191"/>
      <c r="L134" s="188"/>
      <c r="M134" s="225" t="s">
        <v>64</v>
      </c>
      <c r="N134" s="226"/>
      <c r="O134" s="227"/>
      <c r="P134" s="193" t="s">
        <v>65</v>
      </c>
      <c r="Q134" s="194"/>
      <c r="R134" s="194"/>
      <c r="S134" s="194"/>
      <c r="T134" s="193" t="s">
        <v>66</v>
      </c>
      <c r="U134" s="194"/>
      <c r="V134" s="197"/>
      <c r="W134" s="194" t="s">
        <v>67</v>
      </c>
      <c r="X134" s="194"/>
      <c r="Y134" s="194"/>
      <c r="Z134" s="194"/>
      <c r="AA134" s="181" t="s">
        <v>68</v>
      </c>
      <c r="AB134" s="182"/>
      <c r="AC134" s="182"/>
      <c r="AD134" s="182"/>
      <c r="AE134" s="183"/>
      <c r="AF134" s="181" t="s">
        <v>69</v>
      </c>
      <c r="AG134" s="182"/>
      <c r="AH134" s="182"/>
      <c r="AI134" s="182"/>
      <c r="AJ134" s="182"/>
      <c r="AK134" s="182"/>
      <c r="AL134" s="182"/>
      <c r="AM134" s="181" t="s">
        <v>70</v>
      </c>
      <c r="AN134" s="182"/>
      <c r="AO134" s="182"/>
      <c r="AP134" s="183"/>
      <c r="AQ134" s="181" t="s">
        <v>71</v>
      </c>
      <c r="AR134" s="182"/>
      <c r="AS134" s="182"/>
      <c r="AT134" s="182"/>
      <c r="AU134" s="182"/>
      <c r="AV134" s="182"/>
      <c r="AW134" s="183"/>
    </row>
    <row r="135" spans="1:90" ht="15" customHeight="1">
      <c r="A135" s="189"/>
      <c r="B135" s="190"/>
      <c r="C135" s="189"/>
      <c r="D135" s="192"/>
      <c r="E135" s="192"/>
      <c r="F135" s="192"/>
      <c r="G135" s="192"/>
      <c r="H135" s="192"/>
      <c r="I135" s="192"/>
      <c r="J135" s="192"/>
      <c r="K135" s="192"/>
      <c r="L135" s="190"/>
      <c r="M135" s="36" t="s">
        <v>72</v>
      </c>
      <c r="N135" s="36" t="s">
        <v>73</v>
      </c>
      <c r="O135" s="36" t="s">
        <v>74</v>
      </c>
      <c r="P135" s="195"/>
      <c r="Q135" s="196"/>
      <c r="R135" s="196"/>
      <c r="S135" s="196"/>
      <c r="T135" s="195"/>
      <c r="U135" s="196"/>
      <c r="V135" s="198"/>
      <c r="W135" s="196"/>
      <c r="X135" s="196"/>
      <c r="Y135" s="196"/>
      <c r="Z135" s="196"/>
      <c r="AA135" s="184"/>
      <c r="AB135" s="185"/>
      <c r="AC135" s="185"/>
      <c r="AD135" s="185"/>
      <c r="AE135" s="186"/>
      <c r="AF135" s="184"/>
      <c r="AG135" s="185"/>
      <c r="AH135" s="185"/>
      <c r="AI135" s="185"/>
      <c r="AJ135" s="185"/>
      <c r="AK135" s="185"/>
      <c r="AL135" s="185"/>
      <c r="AM135" s="184"/>
      <c r="AN135" s="185"/>
      <c r="AO135" s="185"/>
      <c r="AP135" s="186"/>
      <c r="AQ135" s="184"/>
      <c r="AR135" s="185"/>
      <c r="AS135" s="185"/>
      <c r="AT135" s="185"/>
      <c r="AU135" s="185"/>
      <c r="AV135" s="185"/>
      <c r="AW135" s="186"/>
    </row>
    <row r="136" spans="1:90" s="15" customFormat="1" ht="27" customHeight="1">
      <c r="A136" s="92">
        <v>1</v>
      </c>
      <c r="B136" s="91"/>
      <c r="C136" s="93" t="str">
        <f>C5</f>
        <v>VEGETABLE MARGARINE FOR PROFESSIONAL USE - MAXIME GIOIA SPECIAL</v>
      </c>
      <c r="D136" s="94"/>
      <c r="E136" s="94"/>
      <c r="F136" s="94"/>
      <c r="G136" s="94"/>
      <c r="H136" s="94"/>
      <c r="I136" s="94"/>
      <c r="J136" s="94"/>
      <c r="K136" s="94"/>
      <c r="L136" s="95"/>
      <c r="M136" s="37" t="s">
        <v>75</v>
      </c>
      <c r="N136" s="37"/>
      <c r="O136" s="37"/>
      <c r="P136" s="93" t="s">
        <v>76</v>
      </c>
      <c r="Q136" s="94"/>
      <c r="R136" s="94"/>
      <c r="S136" s="117"/>
      <c r="T136" s="43" t="s">
        <v>82</v>
      </c>
      <c r="U136" s="44"/>
      <c r="V136" s="45"/>
      <c r="W136" s="121" t="s">
        <v>78</v>
      </c>
      <c r="X136" s="94"/>
      <c r="Y136" s="94"/>
      <c r="Z136" s="95"/>
      <c r="AA136" s="96" t="s">
        <v>83</v>
      </c>
      <c r="AB136" s="97"/>
      <c r="AC136" s="97"/>
      <c r="AD136" s="97"/>
      <c r="AE136" s="100"/>
      <c r="AF136" s="108" t="s">
        <v>336</v>
      </c>
      <c r="AG136" s="109"/>
      <c r="AH136" s="109"/>
      <c r="AI136" s="109"/>
      <c r="AJ136" s="109"/>
      <c r="AK136" s="109"/>
      <c r="AL136" s="109"/>
      <c r="AM136" s="110" t="s">
        <v>233</v>
      </c>
      <c r="AN136" s="111"/>
      <c r="AO136" s="111"/>
      <c r="AP136" s="112"/>
      <c r="AQ136" s="89" t="s">
        <v>230</v>
      </c>
      <c r="AR136" s="90"/>
      <c r="AS136" s="90"/>
      <c r="AT136" s="90"/>
      <c r="AU136" s="90"/>
      <c r="AV136" s="90"/>
      <c r="AW136" s="91"/>
      <c r="BC136" s="50"/>
    </row>
    <row r="137" spans="1:90" s="15" customFormat="1" ht="27" customHeight="1">
      <c r="A137" s="92">
        <f>1+A136</f>
        <v>2</v>
      </c>
      <c r="B137" s="91"/>
      <c r="C137" s="93" t="str">
        <f>C6</f>
        <v>COCOA POWDER</v>
      </c>
      <c r="D137" s="94"/>
      <c r="E137" s="94"/>
      <c r="F137" s="94"/>
      <c r="G137" s="94"/>
      <c r="H137" s="94"/>
      <c r="I137" s="94"/>
      <c r="J137" s="94"/>
      <c r="K137" s="94"/>
      <c r="L137" s="95"/>
      <c r="M137" s="37"/>
      <c r="N137" s="37" t="s">
        <v>75</v>
      </c>
      <c r="O137" s="37"/>
      <c r="P137" s="93" t="s">
        <v>79</v>
      </c>
      <c r="Q137" s="94"/>
      <c r="R137" s="94"/>
      <c r="S137" s="117"/>
      <c r="T137" s="43" t="s">
        <v>77</v>
      </c>
      <c r="U137" s="44"/>
      <c r="V137" s="45"/>
      <c r="W137" s="121" t="s">
        <v>78</v>
      </c>
      <c r="X137" s="94"/>
      <c r="Y137" s="94"/>
      <c r="Z137" s="95"/>
      <c r="AA137" s="173"/>
      <c r="AB137" s="174"/>
      <c r="AC137" s="174"/>
      <c r="AD137" s="174"/>
      <c r="AE137" s="175"/>
      <c r="AF137" s="108" t="s">
        <v>80</v>
      </c>
      <c r="AG137" s="109"/>
      <c r="AH137" s="109"/>
      <c r="AI137" s="109"/>
      <c r="AJ137" s="109"/>
      <c r="AK137" s="109"/>
      <c r="AL137" s="109"/>
      <c r="AM137" s="101">
        <v>46736</v>
      </c>
      <c r="AN137" s="102"/>
      <c r="AO137" s="102"/>
      <c r="AP137" s="103"/>
      <c r="AQ137" s="89" t="s">
        <v>230</v>
      </c>
      <c r="AR137" s="90"/>
      <c r="AS137" s="90"/>
      <c r="AT137" s="90"/>
      <c r="AU137" s="90"/>
      <c r="AV137" s="90"/>
      <c r="AW137" s="91"/>
      <c r="BC137" s="50"/>
    </row>
    <row r="138" spans="1:90" s="15" customFormat="1" ht="27" customHeight="1">
      <c r="A138" s="92">
        <f t="shared" ref="A138:A194" si="4">1+A137</f>
        <v>3</v>
      </c>
      <c r="B138" s="91"/>
      <c r="C138" s="93" t="str">
        <f>C7</f>
        <v>SPREADABLE CREAM FOR PROFESSIONAL USE - DELICE ANTE-FORNO HAZELNUT</v>
      </c>
      <c r="D138" s="94"/>
      <c r="E138" s="94"/>
      <c r="F138" s="94"/>
      <c r="G138" s="94"/>
      <c r="H138" s="94"/>
      <c r="I138" s="94"/>
      <c r="J138" s="94"/>
      <c r="K138" s="94"/>
      <c r="L138" s="95"/>
      <c r="M138" s="37"/>
      <c r="N138" s="37"/>
      <c r="O138" s="37" t="s">
        <v>75</v>
      </c>
      <c r="P138" s="93" t="s">
        <v>76</v>
      </c>
      <c r="Q138" s="94"/>
      <c r="R138" s="94"/>
      <c r="S138" s="117"/>
      <c r="T138" s="43" t="s">
        <v>82</v>
      </c>
      <c r="U138" s="44"/>
      <c r="V138" s="45"/>
      <c r="W138" s="121" t="s">
        <v>78</v>
      </c>
      <c r="X138" s="94"/>
      <c r="Y138" s="94"/>
      <c r="Z138" s="95"/>
      <c r="AA138" s="96" t="s">
        <v>83</v>
      </c>
      <c r="AB138" s="97"/>
      <c r="AC138" s="97"/>
      <c r="AD138" s="97"/>
      <c r="AE138" s="100"/>
      <c r="AF138" s="108" t="s">
        <v>335</v>
      </c>
      <c r="AG138" s="109"/>
      <c r="AH138" s="109"/>
      <c r="AI138" s="109"/>
      <c r="AJ138" s="109"/>
      <c r="AK138" s="109"/>
      <c r="AL138" s="109"/>
      <c r="AM138" s="110" t="s">
        <v>233</v>
      </c>
      <c r="AN138" s="111"/>
      <c r="AO138" s="111"/>
      <c r="AP138" s="112"/>
      <c r="AQ138" s="89" t="s">
        <v>230</v>
      </c>
      <c r="AR138" s="90"/>
      <c r="AS138" s="90"/>
      <c r="AT138" s="90"/>
      <c r="AU138" s="90"/>
      <c r="AV138" s="90"/>
      <c r="AW138" s="91"/>
      <c r="BC138" s="50"/>
    </row>
    <row r="139" spans="1:90" s="15" customFormat="1" ht="27" customHeight="1">
      <c r="A139" s="92">
        <f t="shared" si="4"/>
        <v>4</v>
      </c>
      <c r="B139" s="91"/>
      <c r="C139" s="93" t="str">
        <f>C8</f>
        <v>SEMIFINISHED COCOA PRODUCT - SHINE DARK/S BUTTONS</v>
      </c>
      <c r="D139" s="94"/>
      <c r="E139" s="94"/>
      <c r="F139" s="94"/>
      <c r="G139" s="94"/>
      <c r="H139" s="94"/>
      <c r="I139" s="94"/>
      <c r="J139" s="94"/>
      <c r="K139" s="94"/>
      <c r="L139" s="95"/>
      <c r="M139" s="37"/>
      <c r="N139" s="37"/>
      <c r="O139" s="37" t="s">
        <v>75</v>
      </c>
      <c r="P139" s="93" t="s">
        <v>76</v>
      </c>
      <c r="Q139" s="94"/>
      <c r="R139" s="94"/>
      <c r="S139" s="117"/>
      <c r="T139" s="43" t="s">
        <v>82</v>
      </c>
      <c r="U139" s="44"/>
      <c r="V139" s="45"/>
      <c r="W139" s="121" t="s">
        <v>78</v>
      </c>
      <c r="X139" s="94"/>
      <c r="Y139" s="94"/>
      <c r="Z139" s="95"/>
      <c r="AA139" s="96" t="s">
        <v>83</v>
      </c>
      <c r="AB139" s="97"/>
      <c r="AC139" s="97"/>
      <c r="AD139" s="97"/>
      <c r="AE139" s="100"/>
      <c r="AF139" s="108" t="s">
        <v>337</v>
      </c>
      <c r="AG139" s="109"/>
      <c r="AH139" s="109"/>
      <c r="AI139" s="109"/>
      <c r="AJ139" s="109"/>
      <c r="AK139" s="109"/>
      <c r="AL139" s="109"/>
      <c r="AM139" s="101">
        <v>46398</v>
      </c>
      <c r="AN139" s="102"/>
      <c r="AO139" s="102"/>
      <c r="AP139" s="103"/>
      <c r="AQ139" s="89" t="s">
        <v>230</v>
      </c>
      <c r="AR139" s="90"/>
      <c r="AS139" s="90"/>
      <c r="AT139" s="90"/>
      <c r="AU139" s="90"/>
      <c r="AV139" s="90"/>
      <c r="AW139" s="91"/>
      <c r="BC139" s="50"/>
    </row>
    <row r="140" spans="1:90" s="15" customFormat="1" ht="27" customHeight="1">
      <c r="A140" s="92">
        <f t="shared" si="4"/>
        <v>5</v>
      </c>
      <c r="B140" s="91"/>
      <c r="C140" s="93" t="str">
        <f>C9</f>
        <v>HIME</v>
      </c>
      <c r="D140" s="94"/>
      <c r="E140" s="94"/>
      <c r="F140" s="94"/>
      <c r="G140" s="94"/>
      <c r="H140" s="94"/>
      <c r="I140" s="94"/>
      <c r="J140" s="94"/>
      <c r="K140" s="94"/>
      <c r="L140" s="95"/>
      <c r="M140" s="37" t="s">
        <v>75</v>
      </c>
      <c r="N140" s="37"/>
      <c r="O140" s="37"/>
      <c r="P140" s="96" t="s">
        <v>81</v>
      </c>
      <c r="Q140" s="97"/>
      <c r="R140" s="97"/>
      <c r="S140" s="98"/>
      <c r="T140" s="43" t="s">
        <v>82</v>
      </c>
      <c r="U140" s="44"/>
      <c r="V140" s="45"/>
      <c r="W140" s="99" t="s">
        <v>81</v>
      </c>
      <c r="X140" s="97"/>
      <c r="Y140" s="97"/>
      <c r="Z140" s="100"/>
      <c r="AA140" s="96" t="s">
        <v>83</v>
      </c>
      <c r="AB140" s="97"/>
      <c r="AC140" s="97"/>
      <c r="AD140" s="97"/>
      <c r="AE140" s="100"/>
      <c r="AF140" s="92" t="s">
        <v>84</v>
      </c>
      <c r="AG140" s="90"/>
      <c r="AH140" s="90"/>
      <c r="AI140" s="90"/>
      <c r="AJ140" s="90"/>
      <c r="AK140" s="90"/>
      <c r="AL140" s="90"/>
      <c r="AM140" s="110" t="s">
        <v>233</v>
      </c>
      <c r="AN140" s="111"/>
      <c r="AO140" s="111"/>
      <c r="AP140" s="112"/>
      <c r="AQ140" s="89" t="s">
        <v>230</v>
      </c>
      <c r="AR140" s="90"/>
      <c r="AS140" s="90"/>
      <c r="AT140" s="90"/>
      <c r="AU140" s="90"/>
      <c r="AV140" s="90"/>
      <c r="AW140" s="91"/>
      <c r="BC140" s="50"/>
    </row>
    <row r="141" spans="1:90" s="15" customFormat="1" ht="27" customHeight="1">
      <c r="A141" s="92">
        <f t="shared" si="4"/>
        <v>6</v>
      </c>
      <c r="B141" s="91"/>
      <c r="C141" s="93" t="str">
        <f>C10</f>
        <v>DOUBLE ZERO</v>
      </c>
      <c r="D141" s="94"/>
      <c r="E141" s="94"/>
      <c r="F141" s="94"/>
      <c r="G141" s="94"/>
      <c r="H141" s="94"/>
      <c r="I141" s="94"/>
      <c r="J141" s="94"/>
      <c r="K141" s="94"/>
      <c r="L141" s="95"/>
      <c r="M141" s="37" t="s">
        <v>75</v>
      </c>
      <c r="N141" s="37"/>
      <c r="O141" s="37"/>
      <c r="P141" s="96" t="s">
        <v>81</v>
      </c>
      <c r="Q141" s="97"/>
      <c r="R141" s="97"/>
      <c r="S141" s="98"/>
      <c r="T141" s="43" t="s">
        <v>82</v>
      </c>
      <c r="U141" s="44"/>
      <c r="V141" s="45"/>
      <c r="W141" s="99" t="s">
        <v>81</v>
      </c>
      <c r="X141" s="97"/>
      <c r="Y141" s="97"/>
      <c r="Z141" s="100"/>
      <c r="AA141" s="96" t="s">
        <v>83</v>
      </c>
      <c r="AB141" s="97"/>
      <c r="AC141" s="97"/>
      <c r="AD141" s="97"/>
      <c r="AE141" s="100"/>
      <c r="AF141" s="92" t="s">
        <v>84</v>
      </c>
      <c r="AG141" s="90"/>
      <c r="AH141" s="90"/>
      <c r="AI141" s="90"/>
      <c r="AJ141" s="90"/>
      <c r="AK141" s="90"/>
      <c r="AL141" s="90"/>
      <c r="AM141" s="110" t="s">
        <v>233</v>
      </c>
      <c r="AN141" s="111"/>
      <c r="AO141" s="111"/>
      <c r="AP141" s="112"/>
      <c r="AQ141" s="89" t="s">
        <v>230</v>
      </c>
      <c r="AR141" s="90"/>
      <c r="AS141" s="90"/>
      <c r="AT141" s="90"/>
      <c r="AU141" s="90"/>
      <c r="AV141" s="90"/>
      <c r="AW141" s="91"/>
    </row>
    <row r="142" spans="1:90" s="15" customFormat="1" ht="27" customHeight="1">
      <c r="A142" s="92">
        <f t="shared" si="4"/>
        <v>7</v>
      </c>
      <c r="B142" s="91"/>
      <c r="C142" s="93" t="str">
        <f>C11</f>
        <v>Ninja</v>
      </c>
      <c r="D142" s="94"/>
      <c r="E142" s="94"/>
      <c r="F142" s="94"/>
      <c r="G142" s="94"/>
      <c r="H142" s="94"/>
      <c r="I142" s="94"/>
      <c r="J142" s="94"/>
      <c r="K142" s="94"/>
      <c r="L142" s="95"/>
      <c r="M142" s="37" t="s">
        <v>75</v>
      </c>
      <c r="N142" s="37"/>
      <c r="O142" s="37"/>
      <c r="P142" s="96" t="s">
        <v>81</v>
      </c>
      <c r="Q142" s="97"/>
      <c r="R142" s="97"/>
      <c r="S142" s="98"/>
      <c r="T142" s="43" t="s">
        <v>82</v>
      </c>
      <c r="U142" s="44"/>
      <c r="V142" s="45"/>
      <c r="W142" s="99" t="s">
        <v>81</v>
      </c>
      <c r="X142" s="97"/>
      <c r="Y142" s="97"/>
      <c r="Z142" s="100"/>
      <c r="AA142" s="96" t="s">
        <v>83</v>
      </c>
      <c r="AB142" s="97"/>
      <c r="AC142" s="97"/>
      <c r="AD142" s="97"/>
      <c r="AE142" s="100"/>
      <c r="AF142" s="92" t="s">
        <v>84</v>
      </c>
      <c r="AG142" s="90"/>
      <c r="AH142" s="90"/>
      <c r="AI142" s="90"/>
      <c r="AJ142" s="90"/>
      <c r="AK142" s="90"/>
      <c r="AL142" s="90"/>
      <c r="AM142" s="110" t="s">
        <v>233</v>
      </c>
      <c r="AN142" s="111"/>
      <c r="AO142" s="111"/>
      <c r="AP142" s="112"/>
      <c r="AQ142" s="89" t="s">
        <v>230</v>
      </c>
      <c r="AR142" s="90"/>
      <c r="AS142" s="90"/>
      <c r="AT142" s="90"/>
      <c r="AU142" s="90"/>
      <c r="AV142" s="90"/>
      <c r="AW142" s="91"/>
    </row>
    <row r="143" spans="1:90" s="15" customFormat="1" ht="27" customHeight="1">
      <c r="A143" s="92">
        <f t="shared" si="4"/>
        <v>8</v>
      </c>
      <c r="B143" s="91"/>
      <c r="C143" s="93" t="str">
        <f>C12</f>
        <v>CURY SPICE MIX (CURY POWDER)</v>
      </c>
      <c r="D143" s="94"/>
      <c r="E143" s="94"/>
      <c r="F143" s="94"/>
      <c r="G143" s="94"/>
      <c r="H143" s="94"/>
      <c r="I143" s="94"/>
      <c r="J143" s="94"/>
      <c r="K143" s="94"/>
      <c r="L143" s="95"/>
      <c r="M143" s="37"/>
      <c r="N143" s="37" t="s">
        <v>75</v>
      </c>
      <c r="O143" s="37"/>
      <c r="P143" s="93" t="s">
        <v>85</v>
      </c>
      <c r="Q143" s="94"/>
      <c r="R143" s="94"/>
      <c r="S143" s="117"/>
      <c r="T143" s="43" t="s">
        <v>82</v>
      </c>
      <c r="U143" s="44"/>
      <c r="V143" s="45"/>
      <c r="W143" s="99" t="s">
        <v>278</v>
      </c>
      <c r="X143" s="97"/>
      <c r="Y143" s="97"/>
      <c r="Z143" s="100"/>
      <c r="AA143" s="96" t="s">
        <v>83</v>
      </c>
      <c r="AB143" s="97"/>
      <c r="AC143" s="97"/>
      <c r="AD143" s="97"/>
      <c r="AE143" s="100"/>
      <c r="AF143" s="108" t="s">
        <v>86</v>
      </c>
      <c r="AG143" s="109"/>
      <c r="AH143" s="109"/>
      <c r="AI143" s="109"/>
      <c r="AJ143" s="109"/>
      <c r="AK143" s="109"/>
      <c r="AL143" s="109"/>
      <c r="AM143" s="110" t="s">
        <v>233</v>
      </c>
      <c r="AN143" s="111"/>
      <c r="AO143" s="111"/>
      <c r="AP143" s="112"/>
      <c r="AQ143" s="89" t="s">
        <v>230</v>
      </c>
      <c r="AR143" s="90"/>
      <c r="AS143" s="90"/>
      <c r="AT143" s="90"/>
      <c r="AU143" s="90"/>
      <c r="AV143" s="90"/>
      <c r="AW143" s="91"/>
    </row>
    <row r="144" spans="1:90" s="15" customFormat="1" ht="27" customHeight="1">
      <c r="A144" s="92">
        <f t="shared" si="4"/>
        <v>9</v>
      </c>
      <c r="B144" s="91"/>
      <c r="C144" s="93" t="str">
        <f>C13</f>
        <v>CONCENTRATO DI POMODORO TOMATO PASTE SAPORITO</v>
      </c>
      <c r="D144" s="94"/>
      <c r="E144" s="94"/>
      <c r="F144" s="94"/>
      <c r="G144" s="94"/>
      <c r="H144" s="94"/>
      <c r="I144" s="94"/>
      <c r="J144" s="94"/>
      <c r="K144" s="94"/>
      <c r="L144" s="95"/>
      <c r="M144" s="37"/>
      <c r="N144" s="37" t="s">
        <v>75</v>
      </c>
      <c r="O144" s="37"/>
      <c r="P144" s="148" t="s">
        <v>342</v>
      </c>
      <c r="Q144" s="90"/>
      <c r="R144" s="90"/>
      <c r="S144" s="91"/>
      <c r="T144" s="43" t="s">
        <v>322</v>
      </c>
      <c r="U144" s="44"/>
      <c r="V144" s="45"/>
      <c r="W144" s="148" t="s">
        <v>340</v>
      </c>
      <c r="X144" s="90"/>
      <c r="Y144" s="90"/>
      <c r="Z144" s="91"/>
      <c r="AA144" s="173"/>
      <c r="AB144" s="174"/>
      <c r="AC144" s="174"/>
      <c r="AD144" s="174"/>
      <c r="AE144" s="175"/>
      <c r="AF144" s="92" t="s">
        <v>341</v>
      </c>
      <c r="AG144" s="90"/>
      <c r="AH144" s="90"/>
      <c r="AI144" s="90"/>
      <c r="AJ144" s="90"/>
      <c r="AK144" s="90"/>
      <c r="AL144" s="90"/>
      <c r="AM144" s="125">
        <v>46294</v>
      </c>
      <c r="AN144" s="102"/>
      <c r="AO144" s="102"/>
      <c r="AP144" s="103"/>
      <c r="AQ144" s="89" t="s">
        <v>230</v>
      </c>
      <c r="AR144" s="90"/>
      <c r="AS144" s="90"/>
      <c r="AT144" s="90"/>
      <c r="AU144" s="90"/>
      <c r="AV144" s="90"/>
      <c r="AW144" s="91"/>
      <c r="BC144" s="50"/>
    </row>
    <row r="145" spans="1:55" s="15" customFormat="1" ht="27" customHeight="1">
      <c r="A145" s="92">
        <f t="shared" si="4"/>
        <v>10</v>
      </c>
      <c r="B145" s="91"/>
      <c r="C145" s="93" t="str">
        <f>C14</f>
        <v>GULA CASTER (CAP BINTANG)</v>
      </c>
      <c r="D145" s="94"/>
      <c r="E145" s="94"/>
      <c r="F145" s="94"/>
      <c r="G145" s="94"/>
      <c r="H145" s="94"/>
      <c r="I145" s="94"/>
      <c r="J145" s="94"/>
      <c r="K145" s="94"/>
      <c r="L145" s="95"/>
      <c r="M145" s="37" t="s">
        <v>75</v>
      </c>
      <c r="N145" s="37"/>
      <c r="O145" s="37"/>
      <c r="P145" s="96" t="s">
        <v>87</v>
      </c>
      <c r="Q145" s="97"/>
      <c r="R145" s="97"/>
      <c r="S145" s="98"/>
      <c r="T145" s="43" t="s">
        <v>82</v>
      </c>
      <c r="U145" s="44"/>
      <c r="V145" s="45"/>
      <c r="W145" s="99" t="s">
        <v>87</v>
      </c>
      <c r="X145" s="97"/>
      <c r="Y145" s="97"/>
      <c r="Z145" s="100"/>
      <c r="AA145" s="96" t="s">
        <v>83</v>
      </c>
      <c r="AB145" s="97"/>
      <c r="AC145" s="97"/>
      <c r="AD145" s="97"/>
      <c r="AE145" s="100"/>
      <c r="AF145" s="92" t="s">
        <v>88</v>
      </c>
      <c r="AG145" s="90"/>
      <c r="AH145" s="90"/>
      <c r="AI145" s="90"/>
      <c r="AJ145" s="90"/>
      <c r="AK145" s="90"/>
      <c r="AL145" s="90"/>
      <c r="AM145" s="101">
        <v>46203</v>
      </c>
      <c r="AN145" s="102"/>
      <c r="AO145" s="102"/>
      <c r="AP145" s="103"/>
      <c r="AQ145" s="89" t="s">
        <v>230</v>
      </c>
      <c r="AR145" s="90"/>
      <c r="AS145" s="90"/>
      <c r="AT145" s="90"/>
      <c r="AU145" s="90"/>
      <c r="AV145" s="90"/>
      <c r="AW145" s="91"/>
      <c r="BC145" s="50"/>
    </row>
    <row r="146" spans="1:55" s="15" customFormat="1" ht="27" customHeight="1">
      <c r="A146" s="92">
        <f t="shared" si="4"/>
        <v>11</v>
      </c>
      <c r="B146" s="91"/>
      <c r="C146" s="93" t="str">
        <f>C15</f>
        <v>Tuna In Oil, KING'S FISHER</v>
      </c>
      <c r="D146" s="94"/>
      <c r="E146" s="94"/>
      <c r="F146" s="94"/>
      <c r="G146" s="94"/>
      <c r="H146" s="94"/>
      <c r="I146" s="94"/>
      <c r="J146" s="94"/>
      <c r="K146" s="94"/>
      <c r="L146" s="95"/>
      <c r="M146" s="37"/>
      <c r="N146" s="37" t="s">
        <v>75</v>
      </c>
      <c r="O146" s="37"/>
      <c r="P146" s="96" t="s">
        <v>89</v>
      </c>
      <c r="Q146" s="97"/>
      <c r="R146" s="97"/>
      <c r="S146" s="98"/>
      <c r="T146" s="43" t="s">
        <v>82</v>
      </c>
      <c r="U146" s="44"/>
      <c r="V146" s="45"/>
      <c r="W146" s="99" t="s">
        <v>89</v>
      </c>
      <c r="X146" s="97"/>
      <c r="Y146" s="97"/>
      <c r="Z146" s="100"/>
      <c r="AA146" s="96" t="s">
        <v>83</v>
      </c>
      <c r="AB146" s="97"/>
      <c r="AC146" s="97"/>
      <c r="AD146" s="97"/>
      <c r="AE146" s="100"/>
      <c r="AF146" s="92" t="s">
        <v>90</v>
      </c>
      <c r="AG146" s="90"/>
      <c r="AH146" s="90"/>
      <c r="AI146" s="90"/>
      <c r="AJ146" s="90"/>
      <c r="AK146" s="90"/>
      <c r="AL146" s="90"/>
      <c r="AM146" s="110" t="s">
        <v>233</v>
      </c>
      <c r="AN146" s="111"/>
      <c r="AO146" s="111"/>
      <c r="AP146" s="112"/>
      <c r="AQ146" s="89" t="s">
        <v>230</v>
      </c>
      <c r="AR146" s="90"/>
      <c r="AS146" s="90"/>
      <c r="AT146" s="90"/>
      <c r="AU146" s="90"/>
      <c r="AV146" s="90"/>
      <c r="AW146" s="91"/>
    </row>
    <row r="147" spans="1:55" s="15" customFormat="1" ht="27" customHeight="1">
      <c r="A147" s="92">
        <f t="shared" si="4"/>
        <v>12</v>
      </c>
      <c r="B147" s="91"/>
      <c r="C147" s="93" t="str">
        <f>C16</f>
        <v>ANGEL INSTANT DRY YEAST</v>
      </c>
      <c r="D147" s="94"/>
      <c r="E147" s="94"/>
      <c r="F147" s="94"/>
      <c r="G147" s="94"/>
      <c r="H147" s="94"/>
      <c r="I147" s="94"/>
      <c r="J147" s="94"/>
      <c r="K147" s="94"/>
      <c r="L147" s="95"/>
      <c r="M147" s="37" t="s">
        <v>75</v>
      </c>
      <c r="N147" s="37"/>
      <c r="O147" s="37"/>
      <c r="P147" s="96" t="s">
        <v>91</v>
      </c>
      <c r="Q147" s="97"/>
      <c r="R147" s="97"/>
      <c r="S147" s="98"/>
      <c r="T147" s="43" t="s">
        <v>92</v>
      </c>
      <c r="U147" s="44"/>
      <c r="V147" s="45"/>
      <c r="W147" s="99" t="s">
        <v>93</v>
      </c>
      <c r="X147" s="97"/>
      <c r="Y147" s="97"/>
      <c r="Z147" s="100"/>
      <c r="AA147" s="96" t="s">
        <v>83</v>
      </c>
      <c r="AB147" s="97"/>
      <c r="AC147" s="97"/>
      <c r="AD147" s="97"/>
      <c r="AE147" s="100"/>
      <c r="AF147" s="92" t="s">
        <v>94</v>
      </c>
      <c r="AG147" s="90"/>
      <c r="AH147" s="90"/>
      <c r="AI147" s="90"/>
      <c r="AJ147" s="90"/>
      <c r="AK147" s="90"/>
      <c r="AL147" s="90"/>
      <c r="AM147" s="101">
        <v>46434</v>
      </c>
      <c r="AN147" s="102"/>
      <c r="AO147" s="102"/>
      <c r="AP147" s="103"/>
      <c r="AQ147" s="89" t="s">
        <v>230</v>
      </c>
      <c r="AR147" s="90"/>
      <c r="AS147" s="90"/>
      <c r="AT147" s="90"/>
      <c r="AU147" s="90"/>
      <c r="AV147" s="90"/>
      <c r="AW147" s="91"/>
    </row>
    <row r="148" spans="1:55" s="15" customFormat="1" ht="27" customHeight="1">
      <c r="A148" s="92">
        <f t="shared" si="4"/>
        <v>13</v>
      </c>
      <c r="B148" s="91"/>
      <c r="C148" s="93" t="str">
        <f>C17</f>
        <v>BORGES EXTRA LIGHT OLIVE OIL</v>
      </c>
      <c r="D148" s="94"/>
      <c r="E148" s="94"/>
      <c r="F148" s="94"/>
      <c r="G148" s="94"/>
      <c r="H148" s="94"/>
      <c r="I148" s="94"/>
      <c r="J148" s="94"/>
      <c r="K148" s="94"/>
      <c r="L148" s="95"/>
      <c r="M148" s="38"/>
      <c r="N148" s="37" t="s">
        <v>75</v>
      </c>
      <c r="O148" s="37"/>
      <c r="P148" s="93" t="s">
        <v>239</v>
      </c>
      <c r="Q148" s="94"/>
      <c r="R148" s="94"/>
      <c r="S148" s="95"/>
      <c r="T148" s="43" t="s">
        <v>82</v>
      </c>
      <c r="U148" s="44"/>
      <c r="V148" s="45"/>
      <c r="W148" s="99" t="s">
        <v>93</v>
      </c>
      <c r="X148" s="97"/>
      <c r="Y148" s="97"/>
      <c r="Z148" s="100"/>
      <c r="AA148" s="96" t="s">
        <v>83</v>
      </c>
      <c r="AB148" s="97"/>
      <c r="AC148" s="97"/>
      <c r="AD148" s="97"/>
      <c r="AE148" s="100"/>
      <c r="AF148" s="108" t="s">
        <v>238</v>
      </c>
      <c r="AG148" s="109"/>
      <c r="AH148" s="109"/>
      <c r="AI148" s="109"/>
      <c r="AJ148" s="109"/>
      <c r="AK148" s="109"/>
      <c r="AL148" s="156"/>
      <c r="AM148" s="110" t="s">
        <v>233</v>
      </c>
      <c r="AN148" s="111"/>
      <c r="AO148" s="111"/>
      <c r="AP148" s="112"/>
      <c r="AQ148" s="89" t="s">
        <v>230</v>
      </c>
      <c r="AR148" s="90"/>
      <c r="AS148" s="90"/>
      <c r="AT148" s="90"/>
      <c r="AU148" s="90"/>
      <c r="AV148" s="90"/>
      <c r="AW148" s="91"/>
    </row>
    <row r="149" spans="1:55" s="15" customFormat="1" ht="27" customHeight="1">
      <c r="A149" s="92">
        <f t="shared" si="4"/>
        <v>14</v>
      </c>
      <c r="B149" s="91"/>
      <c r="C149" s="93" t="str">
        <f>C18</f>
        <v>UNIGRAIN - ROLLED OATS / QUICK OATS / INSTANT OATS (INCLUDING ORGANIC)</v>
      </c>
      <c r="D149" s="94"/>
      <c r="E149" s="94"/>
      <c r="F149" s="94"/>
      <c r="G149" s="94"/>
      <c r="H149" s="94"/>
      <c r="I149" s="94"/>
      <c r="J149" s="94"/>
      <c r="K149" s="94"/>
      <c r="L149" s="95"/>
      <c r="M149" s="38"/>
      <c r="N149" s="37" t="s">
        <v>75</v>
      </c>
      <c r="O149" s="37"/>
      <c r="P149" s="93" t="s">
        <v>95</v>
      </c>
      <c r="Q149" s="94"/>
      <c r="R149" s="94"/>
      <c r="S149" s="95"/>
      <c r="T149" s="43" t="s">
        <v>96</v>
      </c>
      <c r="U149" s="44"/>
      <c r="V149" s="45"/>
      <c r="W149" s="99" t="s">
        <v>93</v>
      </c>
      <c r="X149" s="97"/>
      <c r="Y149" s="97"/>
      <c r="Z149" s="100"/>
      <c r="AA149" s="173"/>
      <c r="AB149" s="174"/>
      <c r="AC149" s="174"/>
      <c r="AD149" s="174"/>
      <c r="AE149" s="175"/>
      <c r="AF149" s="108" t="s">
        <v>97</v>
      </c>
      <c r="AG149" s="109"/>
      <c r="AH149" s="109"/>
      <c r="AI149" s="109"/>
      <c r="AJ149" s="109"/>
      <c r="AK149" s="109"/>
      <c r="AL149" s="156"/>
      <c r="AM149" s="101">
        <v>46528</v>
      </c>
      <c r="AN149" s="102"/>
      <c r="AO149" s="102"/>
      <c r="AP149" s="103"/>
      <c r="AQ149" s="89" t="s">
        <v>230</v>
      </c>
      <c r="AR149" s="90"/>
      <c r="AS149" s="90"/>
      <c r="AT149" s="90"/>
      <c r="AU149" s="90"/>
      <c r="AV149" s="90"/>
      <c r="AW149" s="91"/>
    </row>
    <row r="150" spans="1:55" s="15" customFormat="1" ht="27" customHeight="1">
      <c r="A150" s="92">
        <f t="shared" si="4"/>
        <v>15</v>
      </c>
      <c r="B150" s="91"/>
      <c r="C150" s="93" t="str">
        <f>C19</f>
        <v>GREEN VALLEY SHREDDED J-PIZZA CHEESE</v>
      </c>
      <c r="D150" s="94"/>
      <c r="E150" s="94"/>
      <c r="F150" s="94"/>
      <c r="G150" s="94"/>
      <c r="H150" s="94"/>
      <c r="I150" s="94"/>
      <c r="J150" s="94"/>
      <c r="K150" s="94"/>
      <c r="L150" s="95"/>
      <c r="M150" s="39"/>
      <c r="N150" s="40" t="s">
        <v>75</v>
      </c>
      <c r="O150" s="37"/>
      <c r="P150" s="93" t="s">
        <v>98</v>
      </c>
      <c r="Q150" s="94"/>
      <c r="R150" s="94"/>
      <c r="S150" s="117"/>
      <c r="T150" s="43" t="s">
        <v>82</v>
      </c>
      <c r="U150" s="44"/>
      <c r="V150" s="45"/>
      <c r="W150" s="99" t="s">
        <v>93</v>
      </c>
      <c r="X150" s="97"/>
      <c r="Y150" s="97"/>
      <c r="Z150" s="100"/>
      <c r="AA150" s="96" t="s">
        <v>83</v>
      </c>
      <c r="AB150" s="97"/>
      <c r="AC150" s="97"/>
      <c r="AD150" s="97"/>
      <c r="AE150" s="100"/>
      <c r="AF150" s="108" t="s">
        <v>99</v>
      </c>
      <c r="AG150" s="109"/>
      <c r="AH150" s="109"/>
      <c r="AI150" s="109"/>
      <c r="AJ150" s="109"/>
      <c r="AK150" s="109"/>
      <c r="AL150" s="156"/>
      <c r="AM150" s="110" t="s">
        <v>233</v>
      </c>
      <c r="AN150" s="111"/>
      <c r="AO150" s="111"/>
      <c r="AP150" s="112"/>
      <c r="AQ150" s="89" t="s">
        <v>230</v>
      </c>
      <c r="AR150" s="90"/>
      <c r="AS150" s="90"/>
      <c r="AT150" s="90"/>
      <c r="AU150" s="90"/>
      <c r="AV150" s="90"/>
      <c r="AW150" s="91"/>
    </row>
    <row r="151" spans="1:55" s="15" customFormat="1" ht="27" customHeight="1">
      <c r="A151" s="92">
        <f t="shared" si="4"/>
        <v>16</v>
      </c>
      <c r="B151" s="91"/>
      <c r="C151" s="93" t="str">
        <f>C20</f>
        <v>LBR (15KG) MARGARINE</v>
      </c>
      <c r="D151" s="94"/>
      <c r="E151" s="94"/>
      <c r="F151" s="94"/>
      <c r="G151" s="94"/>
      <c r="H151" s="94"/>
      <c r="I151" s="94"/>
      <c r="J151" s="94"/>
      <c r="K151" s="94"/>
      <c r="L151" s="95"/>
      <c r="M151" s="38"/>
      <c r="N151" s="37" t="s">
        <v>75</v>
      </c>
      <c r="O151" s="37"/>
      <c r="P151" s="93" t="s">
        <v>100</v>
      </c>
      <c r="Q151" s="94"/>
      <c r="R151" s="94"/>
      <c r="S151" s="117"/>
      <c r="T151" s="43" t="s">
        <v>77</v>
      </c>
      <c r="U151" s="44"/>
      <c r="V151" s="45"/>
      <c r="W151" s="99" t="s">
        <v>93</v>
      </c>
      <c r="X151" s="97"/>
      <c r="Y151" s="97"/>
      <c r="Z151" s="100"/>
      <c r="AA151" s="173"/>
      <c r="AB151" s="174"/>
      <c r="AC151" s="174"/>
      <c r="AD151" s="174"/>
      <c r="AE151" s="175"/>
      <c r="AF151" s="92" t="s">
        <v>101</v>
      </c>
      <c r="AG151" s="90"/>
      <c r="AH151" s="90"/>
      <c r="AI151" s="90"/>
      <c r="AJ151" s="90"/>
      <c r="AK151" s="90"/>
      <c r="AL151" s="91"/>
      <c r="AM151" s="101">
        <v>46783</v>
      </c>
      <c r="AN151" s="102"/>
      <c r="AO151" s="102"/>
      <c r="AP151" s="103"/>
      <c r="AQ151" s="89" t="s">
        <v>230</v>
      </c>
      <c r="AR151" s="90"/>
      <c r="AS151" s="90"/>
      <c r="AT151" s="90"/>
      <c r="AU151" s="90"/>
      <c r="AV151" s="90"/>
      <c r="AW151" s="91"/>
    </row>
    <row r="152" spans="1:55" s="15" customFormat="1" ht="27" customHeight="1">
      <c r="A152" s="92">
        <f t="shared" si="4"/>
        <v>17</v>
      </c>
      <c r="B152" s="91"/>
      <c r="C152" s="93" t="str">
        <f>C21</f>
        <v>ADEKA SPS-IDN COOKING OIL</v>
      </c>
      <c r="D152" s="94"/>
      <c r="E152" s="94"/>
      <c r="F152" s="94"/>
      <c r="G152" s="94"/>
      <c r="H152" s="94"/>
      <c r="I152" s="94"/>
      <c r="J152" s="94"/>
      <c r="K152" s="94"/>
      <c r="L152" s="95"/>
      <c r="M152" s="38"/>
      <c r="N152" s="37" t="s">
        <v>75</v>
      </c>
      <c r="O152" s="37"/>
      <c r="P152" s="93" t="s">
        <v>100</v>
      </c>
      <c r="Q152" s="94"/>
      <c r="R152" s="94"/>
      <c r="S152" s="117"/>
      <c r="T152" s="43" t="s">
        <v>77</v>
      </c>
      <c r="U152" s="44"/>
      <c r="V152" s="45"/>
      <c r="W152" s="99" t="s">
        <v>93</v>
      </c>
      <c r="X152" s="97"/>
      <c r="Y152" s="97"/>
      <c r="Z152" s="100"/>
      <c r="AA152" s="173"/>
      <c r="AB152" s="174"/>
      <c r="AC152" s="174"/>
      <c r="AD152" s="174"/>
      <c r="AE152" s="175"/>
      <c r="AF152" s="92" t="s">
        <v>101</v>
      </c>
      <c r="AG152" s="90"/>
      <c r="AH152" s="90"/>
      <c r="AI152" s="90"/>
      <c r="AJ152" s="90"/>
      <c r="AK152" s="90"/>
      <c r="AL152" s="91"/>
      <c r="AM152" s="101">
        <v>46783</v>
      </c>
      <c r="AN152" s="102"/>
      <c r="AO152" s="102"/>
      <c r="AP152" s="103"/>
      <c r="AQ152" s="89" t="s">
        <v>230</v>
      </c>
      <c r="AR152" s="90"/>
      <c r="AS152" s="90"/>
      <c r="AT152" s="90"/>
      <c r="AU152" s="90"/>
      <c r="AV152" s="90"/>
      <c r="AW152" s="91"/>
    </row>
    <row r="153" spans="1:55" s="15" customFormat="1" ht="27" customHeight="1">
      <c r="A153" s="92">
        <f t="shared" si="4"/>
        <v>18</v>
      </c>
      <c r="B153" s="91"/>
      <c r="C153" s="93" t="str">
        <f>C22</f>
        <v>PANDAN MUNGBEAN PASTE</v>
      </c>
      <c r="D153" s="94"/>
      <c r="E153" s="94"/>
      <c r="F153" s="94"/>
      <c r="G153" s="94"/>
      <c r="H153" s="94"/>
      <c r="I153" s="94"/>
      <c r="J153" s="94"/>
      <c r="K153" s="94"/>
      <c r="L153" s="95"/>
      <c r="M153" s="38"/>
      <c r="N153" s="37" t="s">
        <v>75</v>
      </c>
      <c r="O153" s="37"/>
      <c r="P153" s="93" t="s">
        <v>102</v>
      </c>
      <c r="Q153" s="94"/>
      <c r="R153" s="94"/>
      <c r="S153" s="117"/>
      <c r="T153" s="43" t="s">
        <v>77</v>
      </c>
      <c r="U153" s="44"/>
      <c r="V153" s="45"/>
      <c r="W153" s="99" t="s">
        <v>93</v>
      </c>
      <c r="X153" s="97"/>
      <c r="Y153" s="97"/>
      <c r="Z153" s="100"/>
      <c r="AA153" s="170" t="s">
        <v>240</v>
      </c>
      <c r="AB153" s="171"/>
      <c r="AC153" s="171"/>
      <c r="AD153" s="171"/>
      <c r="AE153" s="172"/>
      <c r="AF153" s="92" t="s">
        <v>103</v>
      </c>
      <c r="AG153" s="90"/>
      <c r="AH153" s="90"/>
      <c r="AI153" s="90"/>
      <c r="AJ153" s="90"/>
      <c r="AK153" s="90"/>
      <c r="AL153" s="91"/>
      <c r="AM153" s="101">
        <v>46053</v>
      </c>
      <c r="AN153" s="102"/>
      <c r="AO153" s="102"/>
      <c r="AP153" s="103"/>
      <c r="AQ153" s="89" t="s">
        <v>230</v>
      </c>
      <c r="AR153" s="90"/>
      <c r="AS153" s="90"/>
      <c r="AT153" s="90"/>
      <c r="AU153" s="90"/>
      <c r="AV153" s="90"/>
      <c r="AW153" s="91"/>
      <c r="BC153" s="50"/>
    </row>
    <row r="154" spans="1:55" s="15" customFormat="1" ht="27" customHeight="1">
      <c r="A154" s="92">
        <f t="shared" si="4"/>
        <v>19</v>
      </c>
      <c r="B154" s="91"/>
      <c r="C154" s="93" t="str">
        <f>C23</f>
        <v>MARIANI SWEETENED DRIED CRANBERRIES</v>
      </c>
      <c r="D154" s="94"/>
      <c r="E154" s="94"/>
      <c r="F154" s="94"/>
      <c r="G154" s="94"/>
      <c r="H154" s="94"/>
      <c r="I154" s="94"/>
      <c r="J154" s="94"/>
      <c r="K154" s="94"/>
      <c r="L154" s="95"/>
      <c r="M154" s="38"/>
      <c r="N154" s="37" t="s">
        <v>75</v>
      </c>
      <c r="O154" s="37"/>
      <c r="P154" s="93" t="s">
        <v>104</v>
      </c>
      <c r="Q154" s="94"/>
      <c r="R154" s="94"/>
      <c r="S154" s="117"/>
      <c r="T154" s="43" t="s">
        <v>105</v>
      </c>
      <c r="U154" s="44"/>
      <c r="V154" s="45"/>
      <c r="W154" s="99" t="s">
        <v>93</v>
      </c>
      <c r="X154" s="97"/>
      <c r="Y154" s="97"/>
      <c r="Z154" s="100"/>
      <c r="AA154" s="173"/>
      <c r="AB154" s="174"/>
      <c r="AC154" s="174"/>
      <c r="AD154" s="174"/>
      <c r="AE154" s="175"/>
      <c r="AF154" s="92" t="s">
        <v>250</v>
      </c>
      <c r="AG154" s="90"/>
      <c r="AH154" s="90"/>
      <c r="AI154" s="90"/>
      <c r="AJ154" s="90"/>
      <c r="AK154" s="90"/>
      <c r="AL154" s="91"/>
      <c r="AM154" s="101">
        <v>46599</v>
      </c>
      <c r="AN154" s="102"/>
      <c r="AO154" s="102"/>
      <c r="AP154" s="103"/>
      <c r="AQ154" s="89" t="s">
        <v>230</v>
      </c>
      <c r="AR154" s="90"/>
      <c r="AS154" s="90"/>
      <c r="AT154" s="90"/>
      <c r="AU154" s="90"/>
      <c r="AV154" s="90"/>
      <c r="AW154" s="91"/>
      <c r="BC154" s="50"/>
    </row>
    <row r="155" spans="1:55" s="15" customFormat="1" ht="27" customHeight="1">
      <c r="A155" s="92">
        <f t="shared" si="4"/>
        <v>20</v>
      </c>
      <c r="B155" s="91"/>
      <c r="C155" s="93" t="str">
        <f>C24</f>
        <v>TOMAT AKU SAUCE (SAUS)</v>
      </c>
      <c r="D155" s="94"/>
      <c r="E155" s="94"/>
      <c r="F155" s="94"/>
      <c r="G155" s="94"/>
      <c r="H155" s="94"/>
      <c r="I155" s="94"/>
      <c r="J155" s="94"/>
      <c r="K155" s="94"/>
      <c r="L155" s="95"/>
      <c r="M155" s="41"/>
      <c r="N155" s="41" t="s">
        <v>75</v>
      </c>
      <c r="O155" s="41"/>
      <c r="P155" s="126" t="s">
        <v>106</v>
      </c>
      <c r="Q155" s="127"/>
      <c r="R155" s="127"/>
      <c r="S155" s="128"/>
      <c r="T155" s="46" t="s">
        <v>82</v>
      </c>
      <c r="U155" s="47"/>
      <c r="V155" s="48"/>
      <c r="W155" s="129" t="s">
        <v>93</v>
      </c>
      <c r="X155" s="127"/>
      <c r="Y155" s="127"/>
      <c r="Z155" s="130"/>
      <c r="AA155" s="131" t="s">
        <v>83</v>
      </c>
      <c r="AB155" s="132"/>
      <c r="AC155" s="132"/>
      <c r="AD155" s="132"/>
      <c r="AE155" s="133"/>
      <c r="AF155" s="92" t="s">
        <v>107</v>
      </c>
      <c r="AG155" s="90"/>
      <c r="AH155" s="90"/>
      <c r="AI155" s="90"/>
      <c r="AJ155" s="90"/>
      <c r="AK155" s="90"/>
      <c r="AL155" s="91"/>
      <c r="AM155" s="101">
        <v>20</v>
      </c>
      <c r="AN155" s="102"/>
      <c r="AO155" s="102"/>
      <c r="AP155" s="103"/>
      <c r="AQ155" s="89" t="s">
        <v>230</v>
      </c>
      <c r="AR155" s="90"/>
      <c r="AS155" s="90"/>
      <c r="AT155" s="90"/>
      <c r="AU155" s="90"/>
      <c r="AV155" s="90"/>
      <c r="AW155" s="91"/>
      <c r="BC155" s="51"/>
    </row>
    <row r="156" spans="1:55" s="15" customFormat="1" ht="27" customHeight="1">
      <c r="A156" s="92">
        <f t="shared" si="4"/>
        <v>21</v>
      </c>
      <c r="B156" s="91"/>
      <c r="C156" s="93" t="str">
        <f>C25</f>
        <v>KIKKOMAN KECAP ASIN KHAS JEPANG / ALL PURPOSE SOY SAUCE</v>
      </c>
      <c r="D156" s="94"/>
      <c r="E156" s="94"/>
      <c r="F156" s="94"/>
      <c r="G156" s="94"/>
      <c r="H156" s="94"/>
      <c r="I156" s="94"/>
      <c r="J156" s="94"/>
      <c r="K156" s="94"/>
      <c r="L156" s="95"/>
      <c r="M156" s="38"/>
      <c r="N156" s="37"/>
      <c r="O156" s="37" t="s">
        <v>75</v>
      </c>
      <c r="P156" s="93" t="s">
        <v>108</v>
      </c>
      <c r="Q156" s="94"/>
      <c r="R156" s="94"/>
      <c r="S156" s="117"/>
      <c r="T156" s="43" t="s">
        <v>82</v>
      </c>
      <c r="U156" s="44"/>
      <c r="V156" s="45"/>
      <c r="W156" s="99" t="s">
        <v>93</v>
      </c>
      <c r="X156" s="97"/>
      <c r="Y156" s="97"/>
      <c r="Z156" s="100"/>
      <c r="AA156" s="96" t="s">
        <v>83</v>
      </c>
      <c r="AB156" s="97"/>
      <c r="AC156" s="97"/>
      <c r="AD156" s="97"/>
      <c r="AE156" s="100"/>
      <c r="AF156" s="92" t="s">
        <v>109</v>
      </c>
      <c r="AG156" s="90"/>
      <c r="AH156" s="90"/>
      <c r="AI156" s="90"/>
      <c r="AJ156" s="90"/>
      <c r="AK156" s="90"/>
      <c r="AL156" s="91"/>
      <c r="AM156" s="101">
        <v>46301</v>
      </c>
      <c r="AN156" s="102"/>
      <c r="AO156" s="102"/>
      <c r="AP156" s="103"/>
      <c r="AQ156" s="89" t="s">
        <v>230</v>
      </c>
      <c r="AR156" s="90"/>
      <c r="AS156" s="90"/>
      <c r="AT156" s="90"/>
      <c r="AU156" s="90"/>
      <c r="AV156" s="90"/>
      <c r="AW156" s="91"/>
    </row>
    <row r="157" spans="1:55" s="15" customFormat="1" ht="27" customHeight="1">
      <c r="A157" s="92">
        <f t="shared" si="4"/>
        <v>22</v>
      </c>
      <c r="B157" s="91"/>
      <c r="C157" s="93" t="str">
        <f>C26</f>
        <v>FLOUR PASTE - ADEKA FILLING SHEET (HONEY)</v>
      </c>
      <c r="D157" s="94"/>
      <c r="E157" s="94"/>
      <c r="F157" s="94"/>
      <c r="G157" s="94"/>
      <c r="H157" s="94"/>
      <c r="I157" s="94"/>
      <c r="J157" s="94"/>
      <c r="K157" s="94"/>
      <c r="L157" s="95"/>
      <c r="M157" s="38"/>
      <c r="N157" s="37" t="s">
        <v>75</v>
      </c>
      <c r="O157" s="37"/>
      <c r="P157" s="93" t="s">
        <v>110</v>
      </c>
      <c r="Q157" s="94"/>
      <c r="R157" s="94"/>
      <c r="S157" s="95"/>
      <c r="T157" s="43" t="s">
        <v>111</v>
      </c>
      <c r="U157" s="44"/>
      <c r="V157" s="45"/>
      <c r="W157" s="99" t="s">
        <v>112</v>
      </c>
      <c r="X157" s="97"/>
      <c r="Y157" s="97"/>
      <c r="Z157" s="100"/>
      <c r="AA157" s="167" t="s">
        <v>231</v>
      </c>
      <c r="AB157" s="168"/>
      <c r="AC157" s="168"/>
      <c r="AD157" s="168"/>
      <c r="AE157" s="169"/>
      <c r="AF157" s="92" t="s">
        <v>113</v>
      </c>
      <c r="AG157" s="90"/>
      <c r="AH157" s="90"/>
      <c r="AI157" s="90"/>
      <c r="AJ157" s="90"/>
      <c r="AK157" s="90"/>
      <c r="AL157" s="91"/>
      <c r="AM157" s="101">
        <v>46081</v>
      </c>
      <c r="AN157" s="102"/>
      <c r="AO157" s="102"/>
      <c r="AP157" s="103"/>
      <c r="AQ157" s="89" t="s">
        <v>230</v>
      </c>
      <c r="AR157" s="90"/>
      <c r="AS157" s="90"/>
      <c r="AT157" s="90"/>
      <c r="AU157" s="90"/>
      <c r="AV157" s="90"/>
      <c r="AW157" s="91"/>
    </row>
    <row r="158" spans="1:55" s="15" customFormat="1" ht="27" customHeight="1">
      <c r="A158" s="92">
        <f t="shared" si="4"/>
        <v>23</v>
      </c>
      <c r="B158" s="91"/>
      <c r="C158" s="93" t="str">
        <f>C27</f>
        <v>FLOUR PASTE - ADEKA FILLING SHEET (PANDAN KAYA)</v>
      </c>
      <c r="D158" s="94"/>
      <c r="E158" s="94"/>
      <c r="F158" s="94"/>
      <c r="G158" s="94"/>
      <c r="H158" s="94"/>
      <c r="I158" s="94"/>
      <c r="J158" s="94"/>
      <c r="K158" s="94"/>
      <c r="L158" s="95"/>
      <c r="M158" s="38"/>
      <c r="N158" s="37" t="s">
        <v>75</v>
      </c>
      <c r="O158" s="37"/>
      <c r="P158" s="93" t="s">
        <v>110</v>
      </c>
      <c r="Q158" s="94"/>
      <c r="R158" s="94"/>
      <c r="S158" s="95"/>
      <c r="T158" s="43" t="s">
        <v>111</v>
      </c>
      <c r="U158" s="44"/>
      <c r="V158" s="45"/>
      <c r="W158" s="99" t="s">
        <v>112</v>
      </c>
      <c r="X158" s="97"/>
      <c r="Y158" s="97"/>
      <c r="Z158" s="100"/>
      <c r="AA158" s="167" t="s">
        <v>231</v>
      </c>
      <c r="AB158" s="168"/>
      <c r="AC158" s="168"/>
      <c r="AD158" s="168"/>
      <c r="AE158" s="169"/>
      <c r="AF158" s="92" t="s">
        <v>113</v>
      </c>
      <c r="AG158" s="90"/>
      <c r="AH158" s="90"/>
      <c r="AI158" s="90"/>
      <c r="AJ158" s="90"/>
      <c r="AK158" s="90"/>
      <c r="AL158" s="91"/>
      <c r="AM158" s="101">
        <v>46081</v>
      </c>
      <c r="AN158" s="102"/>
      <c r="AO158" s="102"/>
      <c r="AP158" s="103"/>
      <c r="AQ158" s="89" t="s">
        <v>230</v>
      </c>
      <c r="AR158" s="90"/>
      <c r="AS158" s="90"/>
      <c r="AT158" s="90"/>
      <c r="AU158" s="90"/>
      <c r="AV158" s="90"/>
      <c r="AW158" s="91"/>
      <c r="BC158" s="50"/>
    </row>
    <row r="159" spans="1:55" s="15" customFormat="1" ht="27" customHeight="1">
      <c r="A159" s="92">
        <f t="shared" si="4"/>
        <v>24</v>
      </c>
      <c r="B159" s="91"/>
      <c r="C159" s="93" t="str">
        <f>C28</f>
        <v>FLOUR PASTE - ADEKA FILLING SHEET (CARAMEL TASTE)</v>
      </c>
      <c r="D159" s="94"/>
      <c r="E159" s="94"/>
      <c r="F159" s="94"/>
      <c r="G159" s="94"/>
      <c r="H159" s="94"/>
      <c r="I159" s="94"/>
      <c r="J159" s="94"/>
      <c r="K159" s="94"/>
      <c r="L159" s="95"/>
      <c r="M159" s="38"/>
      <c r="N159" s="37" t="s">
        <v>75</v>
      </c>
      <c r="O159" s="37"/>
      <c r="P159" s="93" t="s">
        <v>110</v>
      </c>
      <c r="Q159" s="94"/>
      <c r="R159" s="94"/>
      <c r="S159" s="95"/>
      <c r="T159" s="43" t="s">
        <v>111</v>
      </c>
      <c r="U159" s="44"/>
      <c r="V159" s="45"/>
      <c r="W159" s="99" t="s">
        <v>112</v>
      </c>
      <c r="X159" s="97"/>
      <c r="Y159" s="97"/>
      <c r="Z159" s="100"/>
      <c r="AA159" s="167" t="s">
        <v>231</v>
      </c>
      <c r="AB159" s="168"/>
      <c r="AC159" s="168"/>
      <c r="AD159" s="168"/>
      <c r="AE159" s="169"/>
      <c r="AF159" s="92" t="s">
        <v>113</v>
      </c>
      <c r="AG159" s="90"/>
      <c r="AH159" s="90"/>
      <c r="AI159" s="90"/>
      <c r="AJ159" s="90"/>
      <c r="AK159" s="90"/>
      <c r="AL159" s="91"/>
      <c r="AM159" s="101">
        <v>46081</v>
      </c>
      <c r="AN159" s="102"/>
      <c r="AO159" s="102"/>
      <c r="AP159" s="103"/>
      <c r="AQ159" s="89" t="s">
        <v>230</v>
      </c>
      <c r="AR159" s="90"/>
      <c r="AS159" s="90"/>
      <c r="AT159" s="90"/>
      <c r="AU159" s="90"/>
      <c r="AV159" s="90"/>
      <c r="AW159" s="91"/>
      <c r="BC159" s="50"/>
    </row>
    <row r="160" spans="1:55" s="15" customFormat="1" ht="27" customHeight="1">
      <c r="A160" s="92">
        <f t="shared" si="4"/>
        <v>25</v>
      </c>
      <c r="B160" s="91"/>
      <c r="C160" s="93" t="str">
        <f>C29</f>
        <v>FLOUR PASTE - ADEKA FILLING SHEET (CHOCO) V</v>
      </c>
      <c r="D160" s="94"/>
      <c r="E160" s="94"/>
      <c r="F160" s="94"/>
      <c r="G160" s="94"/>
      <c r="H160" s="94"/>
      <c r="I160" s="94"/>
      <c r="J160" s="94"/>
      <c r="K160" s="94"/>
      <c r="L160" s="95"/>
      <c r="M160" s="38"/>
      <c r="N160" s="37" t="s">
        <v>75</v>
      </c>
      <c r="O160" s="37"/>
      <c r="P160" s="93" t="s">
        <v>110</v>
      </c>
      <c r="Q160" s="94"/>
      <c r="R160" s="94"/>
      <c r="S160" s="95"/>
      <c r="T160" s="43" t="s">
        <v>111</v>
      </c>
      <c r="U160" s="44"/>
      <c r="V160" s="45"/>
      <c r="W160" s="99" t="s">
        <v>112</v>
      </c>
      <c r="X160" s="97"/>
      <c r="Y160" s="97"/>
      <c r="Z160" s="100"/>
      <c r="AA160" s="167" t="s">
        <v>231</v>
      </c>
      <c r="AB160" s="168"/>
      <c r="AC160" s="168"/>
      <c r="AD160" s="168"/>
      <c r="AE160" s="169"/>
      <c r="AF160" s="92" t="s">
        <v>113</v>
      </c>
      <c r="AG160" s="90"/>
      <c r="AH160" s="90"/>
      <c r="AI160" s="90"/>
      <c r="AJ160" s="90"/>
      <c r="AK160" s="90"/>
      <c r="AL160" s="91"/>
      <c r="AM160" s="101">
        <v>46081</v>
      </c>
      <c r="AN160" s="102"/>
      <c r="AO160" s="102"/>
      <c r="AP160" s="103"/>
      <c r="AQ160" s="89" t="s">
        <v>230</v>
      </c>
      <c r="AR160" s="90"/>
      <c r="AS160" s="90"/>
      <c r="AT160" s="90"/>
      <c r="AU160" s="90"/>
      <c r="AV160" s="90"/>
      <c r="AW160" s="91"/>
      <c r="BC160" s="50"/>
    </row>
    <row r="161" spans="1:55" s="15" customFormat="1" ht="27" customHeight="1">
      <c r="A161" s="92">
        <f t="shared" si="4"/>
        <v>26</v>
      </c>
      <c r="B161" s="91"/>
      <c r="C161" s="93" t="str">
        <f>C30</f>
        <v>FLOUR PASTE - ADEKA FILLING SHEET (CUSTARD) V</v>
      </c>
      <c r="D161" s="94"/>
      <c r="E161" s="94"/>
      <c r="F161" s="94"/>
      <c r="G161" s="94"/>
      <c r="H161" s="94"/>
      <c r="I161" s="94"/>
      <c r="J161" s="94"/>
      <c r="K161" s="94"/>
      <c r="L161" s="95"/>
      <c r="M161" s="38"/>
      <c r="N161" s="37" t="s">
        <v>75</v>
      </c>
      <c r="O161" s="37"/>
      <c r="P161" s="93" t="s">
        <v>110</v>
      </c>
      <c r="Q161" s="94"/>
      <c r="R161" s="94"/>
      <c r="S161" s="95"/>
      <c r="T161" s="43" t="s">
        <v>111</v>
      </c>
      <c r="U161" s="44"/>
      <c r="V161" s="45"/>
      <c r="W161" s="99" t="s">
        <v>112</v>
      </c>
      <c r="X161" s="97"/>
      <c r="Y161" s="97"/>
      <c r="Z161" s="100"/>
      <c r="AA161" s="167" t="s">
        <v>231</v>
      </c>
      <c r="AB161" s="168"/>
      <c r="AC161" s="168"/>
      <c r="AD161" s="168"/>
      <c r="AE161" s="169"/>
      <c r="AF161" s="92" t="s">
        <v>113</v>
      </c>
      <c r="AG161" s="90"/>
      <c r="AH161" s="90"/>
      <c r="AI161" s="90"/>
      <c r="AJ161" s="90"/>
      <c r="AK161" s="90"/>
      <c r="AL161" s="91"/>
      <c r="AM161" s="101">
        <v>46081</v>
      </c>
      <c r="AN161" s="102"/>
      <c r="AO161" s="102"/>
      <c r="AP161" s="103"/>
      <c r="AQ161" s="89" t="s">
        <v>230</v>
      </c>
      <c r="AR161" s="90"/>
      <c r="AS161" s="90"/>
      <c r="AT161" s="90"/>
      <c r="AU161" s="90"/>
      <c r="AV161" s="90"/>
      <c r="AW161" s="91"/>
      <c r="BC161" s="50"/>
    </row>
    <row r="162" spans="1:55" s="15" customFormat="1" ht="27" customHeight="1">
      <c r="A162" s="92">
        <f t="shared" si="4"/>
        <v>27</v>
      </c>
      <c r="B162" s="91"/>
      <c r="C162" s="93" t="str">
        <f>C31</f>
        <v>KISMIS MARYGOLD SEELECT</v>
      </c>
      <c r="D162" s="94"/>
      <c r="E162" s="94"/>
      <c r="F162" s="94"/>
      <c r="G162" s="94"/>
      <c r="H162" s="94"/>
      <c r="I162" s="94"/>
      <c r="J162" s="94"/>
      <c r="K162" s="94"/>
      <c r="L162" s="95"/>
      <c r="M162" s="37"/>
      <c r="N162" s="37" t="s">
        <v>75</v>
      </c>
      <c r="O162" s="37"/>
      <c r="P162" s="96" t="s">
        <v>114</v>
      </c>
      <c r="Q162" s="97"/>
      <c r="R162" s="97"/>
      <c r="S162" s="98"/>
      <c r="T162" s="43" t="s">
        <v>82</v>
      </c>
      <c r="U162" s="44"/>
      <c r="V162" s="45"/>
      <c r="W162" s="99" t="s">
        <v>237</v>
      </c>
      <c r="X162" s="97"/>
      <c r="Y162" s="97"/>
      <c r="Z162" s="100"/>
      <c r="AA162" s="92" t="s">
        <v>83</v>
      </c>
      <c r="AB162" s="90"/>
      <c r="AC162" s="90"/>
      <c r="AD162" s="90"/>
      <c r="AE162" s="91"/>
      <c r="AF162" s="92" t="s">
        <v>115</v>
      </c>
      <c r="AG162" s="90"/>
      <c r="AH162" s="90"/>
      <c r="AI162" s="90"/>
      <c r="AJ162" s="90"/>
      <c r="AK162" s="90"/>
      <c r="AL162" s="91"/>
      <c r="AM162" s="110" t="s">
        <v>233</v>
      </c>
      <c r="AN162" s="111"/>
      <c r="AO162" s="111"/>
      <c r="AP162" s="112"/>
      <c r="AQ162" s="89" t="s">
        <v>230</v>
      </c>
      <c r="AR162" s="90"/>
      <c r="AS162" s="90"/>
      <c r="AT162" s="90"/>
      <c r="AU162" s="90"/>
      <c r="AV162" s="90"/>
      <c r="AW162" s="91"/>
      <c r="BC162" s="50"/>
    </row>
    <row r="163" spans="1:55" s="15" customFormat="1" ht="27" customHeight="1">
      <c r="A163" s="92">
        <f t="shared" si="4"/>
        <v>28</v>
      </c>
      <c r="B163" s="91"/>
      <c r="C163" s="93" t="str">
        <f>C32</f>
        <v>SUSU BUBUK HAPPY COW PREMIUM</v>
      </c>
      <c r="D163" s="94"/>
      <c r="E163" s="94"/>
      <c r="F163" s="94"/>
      <c r="G163" s="94"/>
      <c r="H163" s="94"/>
      <c r="I163" s="94"/>
      <c r="J163" s="94"/>
      <c r="K163" s="94"/>
      <c r="L163" s="95"/>
      <c r="M163" s="37"/>
      <c r="N163" s="37" t="s">
        <v>75</v>
      </c>
      <c r="O163" s="37"/>
      <c r="P163" s="96" t="s">
        <v>114</v>
      </c>
      <c r="Q163" s="97"/>
      <c r="R163" s="97"/>
      <c r="S163" s="98"/>
      <c r="T163" s="43" t="s">
        <v>82</v>
      </c>
      <c r="U163" s="44"/>
      <c r="V163" s="45"/>
      <c r="W163" s="99" t="s">
        <v>237</v>
      </c>
      <c r="X163" s="97"/>
      <c r="Y163" s="97"/>
      <c r="Z163" s="100"/>
      <c r="AA163" s="92" t="s">
        <v>83</v>
      </c>
      <c r="AB163" s="90"/>
      <c r="AC163" s="90"/>
      <c r="AD163" s="90"/>
      <c r="AE163" s="91"/>
      <c r="AF163" s="92" t="s">
        <v>116</v>
      </c>
      <c r="AG163" s="90"/>
      <c r="AH163" s="90"/>
      <c r="AI163" s="90"/>
      <c r="AJ163" s="90"/>
      <c r="AK163" s="90"/>
      <c r="AL163" s="91"/>
      <c r="AM163" s="110" t="s">
        <v>233</v>
      </c>
      <c r="AN163" s="111"/>
      <c r="AO163" s="111"/>
      <c r="AP163" s="112"/>
      <c r="AQ163" s="89" t="s">
        <v>230</v>
      </c>
      <c r="AR163" s="90"/>
      <c r="AS163" s="90"/>
      <c r="AT163" s="90"/>
      <c r="AU163" s="90"/>
      <c r="AV163" s="90"/>
      <c r="AW163" s="91"/>
    </row>
    <row r="164" spans="1:55" s="15" customFormat="1" ht="27" customHeight="1">
      <c r="A164" s="92">
        <f t="shared" si="4"/>
        <v>29</v>
      </c>
      <c r="B164" s="91"/>
      <c r="C164" s="93" t="str">
        <f>C33</f>
        <v xml:space="preserve">FINE BRAN / WHEAT BRAN  </v>
      </c>
      <c r="D164" s="94"/>
      <c r="E164" s="94"/>
      <c r="F164" s="94"/>
      <c r="G164" s="94"/>
      <c r="H164" s="94"/>
      <c r="I164" s="94"/>
      <c r="J164" s="94"/>
      <c r="K164" s="94"/>
      <c r="L164" s="95"/>
      <c r="M164" s="37"/>
      <c r="N164" s="37" t="s">
        <v>75</v>
      </c>
      <c r="O164" s="37"/>
      <c r="P164" s="96" t="s">
        <v>117</v>
      </c>
      <c r="Q164" s="97"/>
      <c r="R164" s="97"/>
      <c r="S164" s="98"/>
      <c r="T164" s="43" t="s">
        <v>82</v>
      </c>
      <c r="U164" s="44"/>
      <c r="V164" s="45"/>
      <c r="W164" s="99" t="s">
        <v>117</v>
      </c>
      <c r="X164" s="97"/>
      <c r="Y164" s="97"/>
      <c r="Z164" s="100"/>
      <c r="AA164" s="158"/>
      <c r="AB164" s="159"/>
      <c r="AC164" s="159"/>
      <c r="AD164" s="159"/>
      <c r="AE164" s="160"/>
      <c r="AF164" s="161"/>
      <c r="AG164" s="162"/>
      <c r="AH164" s="162"/>
      <c r="AI164" s="162"/>
      <c r="AJ164" s="162"/>
      <c r="AK164" s="162"/>
      <c r="AL164" s="163"/>
      <c r="AM164" s="164"/>
      <c r="AN164" s="165"/>
      <c r="AO164" s="165"/>
      <c r="AP164" s="166"/>
      <c r="AQ164" s="89" t="s">
        <v>230</v>
      </c>
      <c r="AR164" s="90"/>
      <c r="AS164" s="90"/>
      <c r="AT164" s="90"/>
      <c r="AU164" s="90"/>
      <c r="AV164" s="90"/>
      <c r="AW164" s="91"/>
    </row>
    <row r="165" spans="1:55" s="15" customFormat="1" ht="27" customHeight="1">
      <c r="A165" s="92">
        <f t="shared" si="4"/>
        <v>30</v>
      </c>
      <c r="B165" s="91"/>
      <c r="C165" s="93" t="str">
        <f>C34</f>
        <v>MORIN PEANUT BUTTER</v>
      </c>
      <c r="D165" s="94"/>
      <c r="E165" s="94"/>
      <c r="F165" s="94"/>
      <c r="G165" s="94"/>
      <c r="H165" s="94"/>
      <c r="I165" s="94"/>
      <c r="J165" s="94"/>
      <c r="K165" s="94"/>
      <c r="L165" s="95"/>
      <c r="M165" s="37"/>
      <c r="N165" s="37" t="s">
        <v>75</v>
      </c>
      <c r="O165" s="37"/>
      <c r="P165" s="96" t="s">
        <v>119</v>
      </c>
      <c r="Q165" s="97"/>
      <c r="R165" s="97"/>
      <c r="S165" s="98"/>
      <c r="T165" s="43" t="s">
        <v>82</v>
      </c>
      <c r="U165" s="44"/>
      <c r="V165" s="45"/>
      <c r="W165" s="99" t="s">
        <v>119</v>
      </c>
      <c r="X165" s="97"/>
      <c r="Y165" s="97"/>
      <c r="Z165" s="100"/>
      <c r="AA165" s="92" t="s">
        <v>83</v>
      </c>
      <c r="AB165" s="90"/>
      <c r="AC165" s="90"/>
      <c r="AD165" s="90"/>
      <c r="AE165" s="91"/>
      <c r="AF165" s="92" t="s">
        <v>120</v>
      </c>
      <c r="AG165" s="90"/>
      <c r="AH165" s="90"/>
      <c r="AI165" s="90"/>
      <c r="AJ165" s="90"/>
      <c r="AK165" s="90"/>
      <c r="AL165" s="91"/>
      <c r="AM165" s="110" t="s">
        <v>233</v>
      </c>
      <c r="AN165" s="111"/>
      <c r="AO165" s="111"/>
      <c r="AP165" s="112"/>
      <c r="AQ165" s="89" t="s">
        <v>230</v>
      </c>
      <c r="AR165" s="90"/>
      <c r="AS165" s="90"/>
      <c r="AT165" s="90"/>
      <c r="AU165" s="90"/>
      <c r="AV165" s="90"/>
      <c r="AW165" s="91"/>
    </row>
    <row r="166" spans="1:55" s="15" customFormat="1" ht="27" customHeight="1">
      <c r="A166" s="92">
        <f t="shared" si="4"/>
        <v>31</v>
      </c>
      <c r="B166" s="91"/>
      <c r="C166" s="93" t="str">
        <f>C35</f>
        <v>Morin Srikaya Paste</v>
      </c>
      <c r="D166" s="94"/>
      <c r="E166" s="94"/>
      <c r="F166" s="94"/>
      <c r="G166" s="94"/>
      <c r="H166" s="94"/>
      <c r="I166" s="94"/>
      <c r="J166" s="94"/>
      <c r="K166" s="94"/>
      <c r="L166" s="95"/>
      <c r="M166" s="37"/>
      <c r="N166" s="37" t="s">
        <v>75</v>
      </c>
      <c r="O166" s="37"/>
      <c r="P166" s="96" t="s">
        <v>119</v>
      </c>
      <c r="Q166" s="97"/>
      <c r="R166" s="97"/>
      <c r="S166" s="98"/>
      <c r="T166" s="43" t="s">
        <v>82</v>
      </c>
      <c r="U166" s="44"/>
      <c r="V166" s="45"/>
      <c r="W166" s="99" t="s">
        <v>119</v>
      </c>
      <c r="X166" s="97"/>
      <c r="Y166" s="97"/>
      <c r="Z166" s="100"/>
      <c r="AA166" s="92" t="s">
        <v>83</v>
      </c>
      <c r="AB166" s="90"/>
      <c r="AC166" s="90"/>
      <c r="AD166" s="90"/>
      <c r="AE166" s="91"/>
      <c r="AF166" s="92" t="s">
        <v>345</v>
      </c>
      <c r="AG166" s="90"/>
      <c r="AH166" s="90"/>
      <c r="AI166" s="90"/>
      <c r="AJ166" s="90"/>
      <c r="AK166" s="90"/>
      <c r="AL166" s="91"/>
      <c r="AM166" s="110" t="s">
        <v>233</v>
      </c>
      <c r="AN166" s="111"/>
      <c r="AO166" s="111"/>
      <c r="AP166" s="112"/>
      <c r="AQ166" s="89" t="s">
        <v>230</v>
      </c>
      <c r="AR166" s="90"/>
      <c r="AS166" s="90"/>
      <c r="AT166" s="90"/>
      <c r="AU166" s="90"/>
      <c r="AV166" s="90"/>
      <c r="AW166" s="91"/>
    </row>
    <row r="167" spans="1:55" s="15" customFormat="1" ht="27" customHeight="1">
      <c r="A167" s="92">
        <f t="shared" si="4"/>
        <v>32</v>
      </c>
      <c r="B167" s="91"/>
      <c r="C167" s="93" t="str">
        <f>C36</f>
        <v>BLANCHED ALMONDS (SLICED)</v>
      </c>
      <c r="D167" s="94"/>
      <c r="E167" s="94"/>
      <c r="F167" s="94"/>
      <c r="G167" s="94"/>
      <c r="H167" s="94"/>
      <c r="I167" s="94"/>
      <c r="J167" s="94"/>
      <c r="K167" s="94"/>
      <c r="L167" s="95"/>
      <c r="M167" s="37"/>
      <c r="N167" s="37" t="s">
        <v>75</v>
      </c>
      <c r="O167" s="37"/>
      <c r="P167" s="96" t="s">
        <v>121</v>
      </c>
      <c r="Q167" s="97"/>
      <c r="R167" s="97"/>
      <c r="S167" s="98"/>
      <c r="T167" s="43" t="s">
        <v>105</v>
      </c>
      <c r="U167" s="44"/>
      <c r="V167" s="45"/>
      <c r="W167" s="99" t="s">
        <v>122</v>
      </c>
      <c r="X167" s="97"/>
      <c r="Y167" s="97"/>
      <c r="Z167" s="100"/>
      <c r="AA167" s="105"/>
      <c r="AB167" s="106"/>
      <c r="AC167" s="106"/>
      <c r="AD167" s="106"/>
      <c r="AE167" s="107"/>
      <c r="AF167" s="92" t="s">
        <v>248</v>
      </c>
      <c r="AG167" s="90"/>
      <c r="AH167" s="90"/>
      <c r="AI167" s="90"/>
      <c r="AJ167" s="90"/>
      <c r="AK167" s="90"/>
      <c r="AL167" s="91"/>
      <c r="AM167" s="122">
        <v>46142</v>
      </c>
      <c r="AN167" s="123"/>
      <c r="AO167" s="123"/>
      <c r="AP167" s="124"/>
      <c r="AQ167" s="89" t="s">
        <v>230</v>
      </c>
      <c r="AR167" s="90"/>
      <c r="AS167" s="90"/>
      <c r="AT167" s="90"/>
      <c r="AU167" s="90"/>
      <c r="AV167" s="90"/>
      <c r="AW167" s="91"/>
    </row>
    <row r="168" spans="1:55" s="15" customFormat="1" ht="27" customHeight="1">
      <c r="A168" s="92">
        <f t="shared" si="4"/>
        <v>33</v>
      </c>
      <c r="B168" s="91"/>
      <c r="C168" s="93" t="str">
        <f>C37</f>
        <v>Sunflower Seeds/KERNEL</v>
      </c>
      <c r="D168" s="94"/>
      <c r="E168" s="94"/>
      <c r="F168" s="94"/>
      <c r="G168" s="94"/>
      <c r="H168" s="94"/>
      <c r="I168" s="94"/>
      <c r="J168" s="94"/>
      <c r="K168" s="94"/>
      <c r="L168" s="95"/>
      <c r="M168" s="37"/>
      <c r="N168" s="37" t="s">
        <v>75</v>
      </c>
      <c r="O168" s="37"/>
      <c r="P168" s="96" t="s">
        <v>247</v>
      </c>
      <c r="Q168" s="97"/>
      <c r="R168" s="97"/>
      <c r="S168" s="98"/>
      <c r="T168" s="43" t="s">
        <v>92</v>
      </c>
      <c r="U168" s="44"/>
      <c r="V168" s="45"/>
      <c r="W168" s="99" t="s">
        <v>122</v>
      </c>
      <c r="X168" s="97"/>
      <c r="Y168" s="97"/>
      <c r="Z168" s="100"/>
      <c r="AA168" s="105"/>
      <c r="AB168" s="106"/>
      <c r="AC168" s="106"/>
      <c r="AD168" s="106"/>
      <c r="AE168" s="107"/>
      <c r="AF168" s="108" t="s">
        <v>249</v>
      </c>
      <c r="AG168" s="109"/>
      <c r="AH168" s="109"/>
      <c r="AI168" s="109"/>
      <c r="AJ168" s="109"/>
      <c r="AK168" s="109"/>
      <c r="AL168" s="156"/>
      <c r="AM168" s="122">
        <v>46156</v>
      </c>
      <c r="AN168" s="123"/>
      <c r="AO168" s="123"/>
      <c r="AP168" s="124"/>
      <c r="AQ168" s="89" t="s">
        <v>230</v>
      </c>
      <c r="AR168" s="90"/>
      <c r="AS168" s="90"/>
      <c r="AT168" s="90"/>
      <c r="AU168" s="90"/>
      <c r="AV168" s="90"/>
      <c r="AW168" s="91"/>
      <c r="BC168" s="50"/>
    </row>
    <row r="169" spans="1:55" s="15" customFormat="1" ht="27" customHeight="1">
      <c r="A169" s="92">
        <f t="shared" si="4"/>
        <v>34</v>
      </c>
      <c r="B169" s="91"/>
      <c r="C169" s="93" t="str">
        <f>C38</f>
        <v>O-MAYO SAKURA</v>
      </c>
      <c r="D169" s="94"/>
      <c r="E169" s="94"/>
      <c r="F169" s="94"/>
      <c r="G169" s="94"/>
      <c r="H169" s="94"/>
      <c r="I169" s="94"/>
      <c r="J169" s="94"/>
      <c r="K169" s="94"/>
      <c r="L169" s="95"/>
      <c r="M169" s="41"/>
      <c r="N169" s="41" t="s">
        <v>75</v>
      </c>
      <c r="O169" s="41"/>
      <c r="P169" s="126" t="s">
        <v>123</v>
      </c>
      <c r="Q169" s="127"/>
      <c r="R169" s="127"/>
      <c r="S169" s="128"/>
      <c r="T169" s="46" t="s">
        <v>82</v>
      </c>
      <c r="U169" s="47"/>
      <c r="V169" s="48"/>
      <c r="W169" s="129" t="s">
        <v>123</v>
      </c>
      <c r="X169" s="127"/>
      <c r="Y169" s="127"/>
      <c r="Z169" s="130"/>
      <c r="AA169" s="131" t="s">
        <v>83</v>
      </c>
      <c r="AB169" s="132"/>
      <c r="AC169" s="132"/>
      <c r="AD169" s="132"/>
      <c r="AE169" s="133"/>
      <c r="AF169" s="92" t="s">
        <v>124</v>
      </c>
      <c r="AG169" s="90"/>
      <c r="AH169" s="90"/>
      <c r="AI169" s="90"/>
      <c r="AJ169" s="90"/>
      <c r="AK169" s="90"/>
      <c r="AL169" s="91"/>
      <c r="AM169" s="110" t="s">
        <v>233</v>
      </c>
      <c r="AN169" s="111"/>
      <c r="AO169" s="111"/>
      <c r="AP169" s="112"/>
      <c r="AQ169" s="89" t="s">
        <v>230</v>
      </c>
      <c r="AR169" s="90"/>
      <c r="AS169" s="90"/>
      <c r="AT169" s="90"/>
      <c r="AU169" s="90"/>
      <c r="AV169" s="90"/>
      <c r="AW169" s="91"/>
    </row>
    <row r="170" spans="1:55" s="15" customFormat="1" ht="27" customHeight="1">
      <c r="A170" s="92">
        <f t="shared" si="4"/>
        <v>35</v>
      </c>
      <c r="B170" s="91"/>
      <c r="C170" s="93" t="str">
        <f>C39</f>
        <v>CHEESE NEUFCHATEL - TATURA</v>
      </c>
      <c r="D170" s="94"/>
      <c r="E170" s="94"/>
      <c r="F170" s="94"/>
      <c r="G170" s="94"/>
      <c r="H170" s="94"/>
      <c r="I170" s="94"/>
      <c r="J170" s="94"/>
      <c r="K170" s="94"/>
      <c r="L170" s="95"/>
      <c r="M170" s="38"/>
      <c r="N170" s="37" t="s">
        <v>125</v>
      </c>
      <c r="O170" s="38"/>
      <c r="P170" s="137" t="s">
        <v>126</v>
      </c>
      <c r="Q170" s="138"/>
      <c r="R170" s="138"/>
      <c r="S170" s="157"/>
      <c r="T170" s="43" t="s">
        <v>96</v>
      </c>
      <c r="U170" s="44"/>
      <c r="V170" s="45"/>
      <c r="W170" s="99" t="s">
        <v>127</v>
      </c>
      <c r="X170" s="97"/>
      <c r="Y170" s="97"/>
      <c r="Z170" s="100"/>
      <c r="AA170" s="150" t="s">
        <v>128</v>
      </c>
      <c r="AB170" s="151"/>
      <c r="AC170" s="151"/>
      <c r="AD170" s="151"/>
      <c r="AE170" s="152"/>
      <c r="AF170" s="150" t="s">
        <v>128</v>
      </c>
      <c r="AG170" s="151"/>
      <c r="AH170" s="151"/>
      <c r="AI170" s="151"/>
      <c r="AJ170" s="151"/>
      <c r="AK170" s="151"/>
      <c r="AL170" s="152"/>
      <c r="AM170" s="153" t="s">
        <v>128</v>
      </c>
      <c r="AN170" s="154"/>
      <c r="AO170" s="154"/>
      <c r="AP170" s="155"/>
      <c r="AQ170" s="150" t="s">
        <v>128</v>
      </c>
      <c r="AR170" s="151"/>
      <c r="AS170" s="151"/>
      <c r="AT170" s="151"/>
      <c r="AU170" s="151"/>
      <c r="AV170" s="151"/>
      <c r="AW170" s="152"/>
    </row>
    <row r="171" spans="1:55" s="15" customFormat="1" ht="27" customHeight="1">
      <c r="A171" s="92">
        <f t="shared" si="4"/>
        <v>36</v>
      </c>
      <c r="B171" s="91"/>
      <c r="C171" s="93" t="str">
        <f>C40</f>
        <v>BAVARI FRANKFURTER CHICKEN</v>
      </c>
      <c r="D171" s="94"/>
      <c r="E171" s="94"/>
      <c r="F171" s="94"/>
      <c r="G171" s="94"/>
      <c r="H171" s="94"/>
      <c r="I171" s="94"/>
      <c r="J171" s="94"/>
      <c r="K171" s="94"/>
      <c r="L171" s="95"/>
      <c r="M171" s="37"/>
      <c r="N171" s="37" t="s">
        <v>75</v>
      </c>
      <c r="O171" s="37"/>
      <c r="P171" s="96" t="s">
        <v>129</v>
      </c>
      <c r="Q171" s="97"/>
      <c r="R171" s="97"/>
      <c r="S171" s="98"/>
      <c r="T171" s="43" t="s">
        <v>82</v>
      </c>
      <c r="U171" s="44"/>
      <c r="V171" s="45"/>
      <c r="W171" s="99" t="s">
        <v>127</v>
      </c>
      <c r="X171" s="97"/>
      <c r="Y171" s="97"/>
      <c r="Z171" s="100"/>
      <c r="AA171" s="92" t="s">
        <v>83</v>
      </c>
      <c r="AB171" s="90"/>
      <c r="AC171" s="90"/>
      <c r="AD171" s="90"/>
      <c r="AE171" s="91"/>
      <c r="AF171" s="92" t="s">
        <v>130</v>
      </c>
      <c r="AG171" s="90"/>
      <c r="AH171" s="90"/>
      <c r="AI171" s="90"/>
      <c r="AJ171" s="90"/>
      <c r="AK171" s="90"/>
      <c r="AL171" s="90"/>
      <c r="AM171" s="101">
        <v>44931</v>
      </c>
      <c r="AN171" s="102"/>
      <c r="AO171" s="102"/>
      <c r="AP171" s="103"/>
      <c r="AQ171" s="89" t="s">
        <v>230</v>
      </c>
      <c r="AR171" s="90"/>
      <c r="AS171" s="90"/>
      <c r="AT171" s="90"/>
      <c r="AU171" s="90"/>
      <c r="AV171" s="90"/>
      <c r="AW171" s="91"/>
    </row>
    <row r="172" spans="1:55" s="15" customFormat="1" ht="27" customHeight="1">
      <c r="A172" s="92">
        <f t="shared" si="4"/>
        <v>37</v>
      </c>
      <c r="B172" s="91"/>
      <c r="C172" s="93" t="str">
        <f>C41</f>
        <v>UHT MILK FULL CREAM SLEEVE (DIAMOND)</v>
      </c>
      <c r="D172" s="94"/>
      <c r="E172" s="94"/>
      <c r="F172" s="94"/>
      <c r="G172" s="94"/>
      <c r="H172" s="94"/>
      <c r="I172" s="94"/>
      <c r="J172" s="94"/>
      <c r="K172" s="94"/>
      <c r="L172" s="95"/>
      <c r="M172" s="42"/>
      <c r="N172" s="42" t="s">
        <v>75</v>
      </c>
      <c r="O172" s="42"/>
      <c r="P172" s="137" t="s">
        <v>131</v>
      </c>
      <c r="Q172" s="138"/>
      <c r="R172" s="138"/>
      <c r="S172" s="139"/>
      <c r="T172" s="49" t="s">
        <v>82</v>
      </c>
      <c r="U172" s="44"/>
      <c r="V172" s="45"/>
      <c r="W172" s="121" t="s">
        <v>127</v>
      </c>
      <c r="X172" s="94"/>
      <c r="Y172" s="94"/>
      <c r="Z172" s="95"/>
      <c r="AA172" s="92" t="s">
        <v>83</v>
      </c>
      <c r="AB172" s="90"/>
      <c r="AC172" s="90"/>
      <c r="AD172" s="90"/>
      <c r="AE172" s="91"/>
      <c r="AF172" s="140" t="s">
        <v>132</v>
      </c>
      <c r="AG172" s="141"/>
      <c r="AH172" s="141"/>
      <c r="AI172" s="141"/>
      <c r="AJ172" s="141"/>
      <c r="AK172" s="141"/>
      <c r="AL172" s="141"/>
      <c r="AM172" s="142">
        <v>46007</v>
      </c>
      <c r="AN172" s="143"/>
      <c r="AO172" s="143"/>
      <c r="AP172" s="144"/>
      <c r="AQ172" s="89" t="s">
        <v>230</v>
      </c>
      <c r="AR172" s="90"/>
      <c r="AS172" s="90"/>
      <c r="AT172" s="90"/>
      <c r="AU172" s="90"/>
      <c r="AV172" s="90"/>
      <c r="AW172" s="91"/>
    </row>
    <row r="173" spans="1:55" s="15" customFormat="1" ht="27" customHeight="1">
      <c r="A173" s="92">
        <f t="shared" si="4"/>
        <v>38</v>
      </c>
      <c r="B173" s="91"/>
      <c r="C173" s="93" t="str">
        <f>C42</f>
        <v>BEGA BUTTER UNSALTED</v>
      </c>
      <c r="D173" s="94"/>
      <c r="E173" s="94"/>
      <c r="F173" s="94"/>
      <c r="G173" s="94"/>
      <c r="H173" s="94"/>
      <c r="I173" s="94"/>
      <c r="J173" s="94"/>
      <c r="K173" s="94"/>
      <c r="L173" s="95"/>
      <c r="M173" s="37"/>
      <c r="N173" s="37" t="s">
        <v>75</v>
      </c>
      <c r="O173" s="37"/>
      <c r="P173" s="145" t="s">
        <v>128</v>
      </c>
      <c r="Q173" s="146"/>
      <c r="R173" s="146"/>
      <c r="S173" s="147"/>
      <c r="T173" s="148" t="s">
        <v>96</v>
      </c>
      <c r="U173" s="90"/>
      <c r="V173" s="149"/>
      <c r="W173" s="99" t="s">
        <v>127</v>
      </c>
      <c r="X173" s="97"/>
      <c r="Y173" s="97"/>
      <c r="Z173" s="100"/>
      <c r="AA173" s="150" t="s">
        <v>128</v>
      </c>
      <c r="AB173" s="151"/>
      <c r="AC173" s="151"/>
      <c r="AD173" s="151"/>
      <c r="AE173" s="152"/>
      <c r="AF173" s="150" t="s">
        <v>128</v>
      </c>
      <c r="AG173" s="151"/>
      <c r="AH173" s="151"/>
      <c r="AI173" s="151"/>
      <c r="AJ173" s="151"/>
      <c r="AK173" s="151"/>
      <c r="AL173" s="152"/>
      <c r="AM173" s="153" t="s">
        <v>128</v>
      </c>
      <c r="AN173" s="154"/>
      <c r="AO173" s="154"/>
      <c r="AP173" s="155"/>
      <c r="AQ173" s="150" t="s">
        <v>128</v>
      </c>
      <c r="AR173" s="151"/>
      <c r="AS173" s="151"/>
      <c r="AT173" s="151"/>
      <c r="AU173" s="151"/>
      <c r="AV173" s="151"/>
      <c r="AW173" s="152"/>
    </row>
    <row r="174" spans="1:55" s="15" customFormat="1" ht="27" customHeight="1">
      <c r="A174" s="92">
        <f t="shared" si="4"/>
        <v>39</v>
      </c>
      <c r="B174" s="91"/>
      <c r="C174" s="93" t="str">
        <f>C43</f>
        <v>GREENFIELDS WHIPPING CREAM (FULL DAIRY) 1 LT</v>
      </c>
      <c r="D174" s="94"/>
      <c r="E174" s="94"/>
      <c r="F174" s="94"/>
      <c r="G174" s="94"/>
      <c r="H174" s="94"/>
      <c r="I174" s="94"/>
      <c r="J174" s="94"/>
      <c r="K174" s="94"/>
      <c r="L174" s="95"/>
      <c r="M174" s="41"/>
      <c r="N174" s="41" t="s">
        <v>75</v>
      </c>
      <c r="O174" s="41"/>
      <c r="P174" s="126" t="s">
        <v>133</v>
      </c>
      <c r="Q174" s="127"/>
      <c r="R174" s="127"/>
      <c r="S174" s="128"/>
      <c r="T174" s="46" t="s">
        <v>82</v>
      </c>
      <c r="U174" s="47"/>
      <c r="V174" s="48"/>
      <c r="W174" s="129" t="s">
        <v>133</v>
      </c>
      <c r="X174" s="127"/>
      <c r="Y174" s="127"/>
      <c r="Z174" s="130"/>
      <c r="AA174" s="131" t="s">
        <v>83</v>
      </c>
      <c r="AB174" s="132"/>
      <c r="AC174" s="132"/>
      <c r="AD174" s="132"/>
      <c r="AE174" s="133"/>
      <c r="AF174" s="131" t="s">
        <v>134</v>
      </c>
      <c r="AG174" s="132"/>
      <c r="AH174" s="132"/>
      <c r="AI174" s="132"/>
      <c r="AJ174" s="132"/>
      <c r="AK174" s="132"/>
      <c r="AL174" s="132"/>
      <c r="AM174" s="110" t="s">
        <v>233</v>
      </c>
      <c r="AN174" s="111"/>
      <c r="AO174" s="111"/>
      <c r="AP174" s="112"/>
      <c r="AQ174" s="89" t="s">
        <v>230</v>
      </c>
      <c r="AR174" s="90"/>
      <c r="AS174" s="90"/>
      <c r="AT174" s="90"/>
      <c r="AU174" s="90"/>
      <c r="AV174" s="90"/>
      <c r="AW174" s="91"/>
    </row>
    <row r="175" spans="1:55" s="15" customFormat="1" ht="27" customHeight="1">
      <c r="A175" s="92">
        <f t="shared" si="4"/>
        <v>40</v>
      </c>
      <c r="B175" s="91"/>
      <c r="C175" s="93" t="str">
        <f>C44</f>
        <v>PROCHIZ CHEDDAR</v>
      </c>
      <c r="D175" s="94"/>
      <c r="E175" s="94"/>
      <c r="F175" s="94"/>
      <c r="G175" s="94"/>
      <c r="H175" s="94"/>
      <c r="I175" s="94"/>
      <c r="J175" s="94"/>
      <c r="K175" s="94"/>
      <c r="L175" s="95"/>
      <c r="M175" s="41"/>
      <c r="N175" s="41" t="s">
        <v>75</v>
      </c>
      <c r="O175" s="41"/>
      <c r="P175" s="126" t="s">
        <v>135</v>
      </c>
      <c r="Q175" s="127"/>
      <c r="R175" s="127"/>
      <c r="S175" s="128"/>
      <c r="T175" s="46" t="s">
        <v>82</v>
      </c>
      <c r="U175" s="47"/>
      <c r="V175" s="48"/>
      <c r="W175" s="129" t="s">
        <v>232</v>
      </c>
      <c r="X175" s="127"/>
      <c r="Y175" s="127"/>
      <c r="Z175" s="130"/>
      <c r="AA175" s="131" t="s">
        <v>83</v>
      </c>
      <c r="AB175" s="132"/>
      <c r="AC175" s="132"/>
      <c r="AD175" s="132"/>
      <c r="AE175" s="133"/>
      <c r="AF175" s="131" t="s">
        <v>136</v>
      </c>
      <c r="AG175" s="132"/>
      <c r="AH175" s="132"/>
      <c r="AI175" s="132"/>
      <c r="AJ175" s="132"/>
      <c r="AK175" s="132"/>
      <c r="AL175" s="132"/>
      <c r="AM175" s="110" t="s">
        <v>233</v>
      </c>
      <c r="AN175" s="111"/>
      <c r="AO175" s="111"/>
      <c r="AP175" s="112"/>
      <c r="AQ175" s="89" t="s">
        <v>230</v>
      </c>
      <c r="AR175" s="90"/>
      <c r="AS175" s="90"/>
      <c r="AT175" s="90"/>
      <c r="AU175" s="90"/>
      <c r="AV175" s="90"/>
      <c r="AW175" s="91"/>
    </row>
    <row r="176" spans="1:55" s="15" customFormat="1" ht="27" customHeight="1">
      <c r="A176" s="92">
        <f t="shared" si="4"/>
        <v>41</v>
      </c>
      <c r="B176" s="91"/>
      <c r="C176" s="93" t="str">
        <f>C45</f>
        <v>KANEKA FILLING BANANA SP GM</v>
      </c>
      <c r="D176" s="94"/>
      <c r="E176" s="94"/>
      <c r="F176" s="94"/>
      <c r="G176" s="94"/>
      <c r="H176" s="94"/>
      <c r="I176" s="94"/>
      <c r="J176" s="94"/>
      <c r="K176" s="94"/>
      <c r="L176" s="95"/>
      <c r="M176" s="37"/>
      <c r="N176" s="37" t="s">
        <v>75</v>
      </c>
      <c r="O176" s="37"/>
      <c r="P176" s="96" t="s">
        <v>137</v>
      </c>
      <c r="Q176" s="97"/>
      <c r="R176" s="97"/>
      <c r="S176" s="98"/>
      <c r="T176" s="43" t="s">
        <v>82</v>
      </c>
      <c r="U176" s="44"/>
      <c r="V176" s="45"/>
      <c r="W176" s="99" t="s">
        <v>137</v>
      </c>
      <c r="X176" s="97"/>
      <c r="Y176" s="97"/>
      <c r="Z176" s="100"/>
      <c r="AA176" s="92" t="s">
        <v>83</v>
      </c>
      <c r="AB176" s="90"/>
      <c r="AC176" s="90"/>
      <c r="AD176" s="90"/>
      <c r="AE176" s="91"/>
      <c r="AF176" s="92" t="s">
        <v>138</v>
      </c>
      <c r="AG176" s="90"/>
      <c r="AH176" s="90"/>
      <c r="AI176" s="90"/>
      <c r="AJ176" s="90"/>
      <c r="AK176" s="90"/>
      <c r="AL176" s="90"/>
      <c r="AM176" s="101">
        <v>46392</v>
      </c>
      <c r="AN176" s="102"/>
      <c r="AO176" s="102"/>
      <c r="AP176" s="103"/>
      <c r="AQ176" s="89" t="s">
        <v>230</v>
      </c>
      <c r="AR176" s="90"/>
      <c r="AS176" s="90"/>
      <c r="AT176" s="90"/>
      <c r="AU176" s="90"/>
      <c r="AV176" s="90"/>
      <c r="AW176" s="91"/>
    </row>
    <row r="177" spans="1:840" s="15" customFormat="1" ht="27" customHeight="1">
      <c r="A177" s="92">
        <f t="shared" si="4"/>
        <v>42</v>
      </c>
      <c r="B177" s="91"/>
      <c r="C177" s="93" t="str">
        <f>C46</f>
        <v>TULIP MASTERDECOR DARK COMPOUND CHOCOLATE</v>
      </c>
      <c r="D177" s="94"/>
      <c r="E177" s="94"/>
      <c r="F177" s="94"/>
      <c r="G177" s="94"/>
      <c r="H177" s="94"/>
      <c r="I177" s="94"/>
      <c r="J177" s="94"/>
      <c r="K177" s="94"/>
      <c r="L177" s="95"/>
      <c r="M177" s="37"/>
      <c r="N177" s="37" t="s">
        <v>75</v>
      </c>
      <c r="O177" s="37"/>
      <c r="P177" s="96" t="s">
        <v>139</v>
      </c>
      <c r="Q177" s="97"/>
      <c r="R177" s="97"/>
      <c r="S177" s="98"/>
      <c r="T177" s="43" t="s">
        <v>82</v>
      </c>
      <c r="U177" s="44"/>
      <c r="V177" s="45"/>
      <c r="W177" s="99" t="s">
        <v>234</v>
      </c>
      <c r="X177" s="97"/>
      <c r="Y177" s="97"/>
      <c r="Z177" s="100"/>
      <c r="AA177" s="92" t="s">
        <v>83</v>
      </c>
      <c r="AB177" s="90"/>
      <c r="AC177" s="90"/>
      <c r="AD177" s="90"/>
      <c r="AE177" s="91"/>
      <c r="AF177" s="92" t="s">
        <v>140</v>
      </c>
      <c r="AG177" s="90"/>
      <c r="AH177" s="90"/>
      <c r="AI177" s="90"/>
      <c r="AJ177" s="90"/>
      <c r="AK177" s="90"/>
      <c r="AL177" s="90"/>
      <c r="AM177" s="110" t="s">
        <v>233</v>
      </c>
      <c r="AN177" s="111"/>
      <c r="AO177" s="111"/>
      <c r="AP177" s="112"/>
      <c r="AQ177" s="89" t="s">
        <v>230</v>
      </c>
      <c r="AR177" s="90"/>
      <c r="AS177" s="90"/>
      <c r="AT177" s="90"/>
      <c r="AU177" s="90"/>
      <c r="AV177" s="90"/>
      <c r="AW177" s="91"/>
    </row>
    <row r="178" spans="1:840" s="15" customFormat="1" ht="27" customHeight="1">
      <c r="A178" s="92">
        <f t="shared" si="4"/>
        <v>43</v>
      </c>
      <c r="B178" s="91"/>
      <c r="C178" s="93" t="str">
        <f>C47</f>
        <v>TULIP CHOCOLATIER DARK COMPOUND CHOCOLATE BATONS</v>
      </c>
      <c r="D178" s="94"/>
      <c r="E178" s="94"/>
      <c r="F178" s="94"/>
      <c r="G178" s="94"/>
      <c r="H178" s="94"/>
      <c r="I178" s="94"/>
      <c r="J178" s="94"/>
      <c r="K178" s="94"/>
      <c r="L178" s="95"/>
      <c r="M178" s="37"/>
      <c r="N178" s="37" t="s">
        <v>75</v>
      </c>
      <c r="O178" s="37"/>
      <c r="P178" s="126" t="s">
        <v>141</v>
      </c>
      <c r="Q178" s="127"/>
      <c r="R178" s="127"/>
      <c r="S178" s="128"/>
      <c r="T178" s="43" t="s">
        <v>82</v>
      </c>
      <c r="U178" s="44"/>
      <c r="V178" s="45"/>
      <c r="W178" s="99" t="s">
        <v>234</v>
      </c>
      <c r="X178" s="97"/>
      <c r="Y178" s="97"/>
      <c r="Z178" s="100"/>
      <c r="AA178" s="92" t="s">
        <v>83</v>
      </c>
      <c r="AB178" s="90"/>
      <c r="AC178" s="90"/>
      <c r="AD178" s="90"/>
      <c r="AE178" s="91"/>
      <c r="AF178" s="108" t="s">
        <v>140</v>
      </c>
      <c r="AG178" s="109"/>
      <c r="AH178" s="109"/>
      <c r="AI178" s="109"/>
      <c r="AJ178" s="109"/>
      <c r="AK178" s="109"/>
      <c r="AL178" s="109"/>
      <c r="AM178" s="110" t="s">
        <v>233</v>
      </c>
      <c r="AN178" s="111"/>
      <c r="AO178" s="111"/>
      <c r="AP178" s="112"/>
      <c r="AQ178" s="89" t="s">
        <v>230</v>
      </c>
      <c r="AR178" s="90"/>
      <c r="AS178" s="90"/>
      <c r="AT178" s="90"/>
      <c r="AU178" s="90"/>
      <c r="AV178" s="90"/>
      <c r="AW178" s="91"/>
    </row>
    <row r="179" spans="1:840" s="15" customFormat="1" ht="27" customHeight="1">
      <c r="A179" s="92">
        <f t="shared" si="4"/>
        <v>44</v>
      </c>
      <c r="B179" s="91"/>
      <c r="C179" s="93" t="str">
        <f>C48</f>
        <v>TULIP CHOCO RICE COMPOUND DARK 5</v>
      </c>
      <c r="D179" s="94"/>
      <c r="E179" s="94"/>
      <c r="F179" s="94"/>
      <c r="G179" s="94"/>
      <c r="H179" s="94"/>
      <c r="I179" s="94"/>
      <c r="J179" s="94"/>
      <c r="K179" s="94"/>
      <c r="L179" s="95"/>
      <c r="M179" s="41"/>
      <c r="N179" s="41" t="s">
        <v>75</v>
      </c>
      <c r="O179" s="41"/>
      <c r="P179" s="126" t="s">
        <v>141</v>
      </c>
      <c r="Q179" s="127"/>
      <c r="R179" s="127"/>
      <c r="S179" s="128"/>
      <c r="T179" s="46" t="s">
        <v>82</v>
      </c>
      <c r="U179" s="47"/>
      <c r="V179" s="48"/>
      <c r="W179" s="129" t="s">
        <v>234</v>
      </c>
      <c r="X179" s="127"/>
      <c r="Y179" s="127"/>
      <c r="Z179" s="130"/>
      <c r="AA179" s="131" t="s">
        <v>83</v>
      </c>
      <c r="AB179" s="132"/>
      <c r="AC179" s="132"/>
      <c r="AD179" s="132"/>
      <c r="AE179" s="133"/>
      <c r="AF179" s="131" t="s">
        <v>140</v>
      </c>
      <c r="AG179" s="132"/>
      <c r="AH179" s="132"/>
      <c r="AI179" s="132"/>
      <c r="AJ179" s="132"/>
      <c r="AK179" s="132"/>
      <c r="AL179" s="132"/>
      <c r="AM179" s="134">
        <v>46194</v>
      </c>
      <c r="AN179" s="135"/>
      <c r="AO179" s="135"/>
      <c r="AP179" s="136"/>
      <c r="AQ179" s="89" t="s">
        <v>230</v>
      </c>
      <c r="AR179" s="90"/>
      <c r="AS179" s="90"/>
      <c r="AT179" s="90"/>
      <c r="AU179" s="90"/>
      <c r="AV179" s="90"/>
      <c r="AW179" s="91"/>
    </row>
    <row r="180" spans="1:840" s="15" customFormat="1" ht="27" customHeight="1">
      <c r="A180" s="92">
        <f t="shared" si="4"/>
        <v>45</v>
      </c>
      <c r="B180" s="91"/>
      <c r="C180" s="93" t="str">
        <f>C49</f>
        <v>DAGING SAPI ASAP (SMOKED BEEF) EL PRIMO</v>
      </c>
      <c r="D180" s="94"/>
      <c r="E180" s="94"/>
      <c r="F180" s="94"/>
      <c r="G180" s="94"/>
      <c r="H180" s="94"/>
      <c r="I180" s="94"/>
      <c r="J180" s="94"/>
      <c r="K180" s="94"/>
      <c r="L180" s="95"/>
      <c r="M180" s="37"/>
      <c r="N180" s="37" t="s">
        <v>75</v>
      </c>
      <c r="O180" s="37"/>
      <c r="P180" s="96" t="s">
        <v>142</v>
      </c>
      <c r="Q180" s="97"/>
      <c r="R180" s="97"/>
      <c r="S180" s="98"/>
      <c r="T180" s="43" t="s">
        <v>82</v>
      </c>
      <c r="U180" s="44"/>
      <c r="V180" s="45"/>
      <c r="W180" s="99" t="s">
        <v>143</v>
      </c>
      <c r="X180" s="97"/>
      <c r="Y180" s="97"/>
      <c r="Z180" s="100"/>
      <c r="AA180" s="92" t="s">
        <v>83</v>
      </c>
      <c r="AB180" s="90"/>
      <c r="AC180" s="90"/>
      <c r="AD180" s="90"/>
      <c r="AE180" s="91"/>
      <c r="AF180" s="92" t="s">
        <v>144</v>
      </c>
      <c r="AG180" s="90"/>
      <c r="AH180" s="90"/>
      <c r="AI180" s="90"/>
      <c r="AJ180" s="90"/>
      <c r="AK180" s="90"/>
      <c r="AL180" s="90"/>
      <c r="AM180" s="110" t="s">
        <v>233</v>
      </c>
      <c r="AN180" s="111"/>
      <c r="AO180" s="111"/>
      <c r="AP180" s="112"/>
      <c r="AQ180" s="89" t="s">
        <v>230</v>
      </c>
      <c r="AR180" s="90"/>
      <c r="AS180" s="90"/>
      <c r="AT180" s="90"/>
      <c r="AU180" s="90"/>
      <c r="AV180" s="90"/>
      <c r="AW180" s="91"/>
    </row>
    <row r="181" spans="1:840" s="15" customFormat="1" ht="27" customHeight="1">
      <c r="A181" s="92">
        <f t="shared" si="4"/>
        <v>46</v>
      </c>
      <c r="B181" s="91"/>
      <c r="C181" s="93" t="str">
        <f>C50</f>
        <v>GARAM INDUSTRI MEREK G.I.L.I</v>
      </c>
      <c r="D181" s="94"/>
      <c r="E181" s="94"/>
      <c r="F181" s="94"/>
      <c r="G181" s="94"/>
      <c r="H181" s="94"/>
      <c r="I181" s="94"/>
      <c r="J181" s="94"/>
      <c r="K181" s="94"/>
      <c r="L181" s="95"/>
      <c r="M181" s="37" t="s">
        <v>75</v>
      </c>
      <c r="N181" s="37"/>
      <c r="O181" s="37"/>
      <c r="P181" s="96" t="s">
        <v>252</v>
      </c>
      <c r="Q181" s="97"/>
      <c r="R181" s="97"/>
      <c r="S181" s="98"/>
      <c r="T181" s="43" t="s">
        <v>82</v>
      </c>
      <c r="U181" s="44"/>
      <c r="V181" s="45"/>
      <c r="W181" s="96" t="s">
        <v>252</v>
      </c>
      <c r="X181" s="97"/>
      <c r="Y181" s="97"/>
      <c r="Z181" s="98"/>
      <c r="AA181" s="92" t="s">
        <v>83</v>
      </c>
      <c r="AB181" s="90"/>
      <c r="AC181" s="90"/>
      <c r="AD181" s="90"/>
      <c r="AE181" s="91"/>
      <c r="AF181" s="92" t="s">
        <v>253</v>
      </c>
      <c r="AG181" s="90"/>
      <c r="AH181" s="90"/>
      <c r="AI181" s="90"/>
      <c r="AJ181" s="90"/>
      <c r="AK181" s="90"/>
      <c r="AL181" s="90"/>
      <c r="AM181" s="110" t="s">
        <v>233</v>
      </c>
      <c r="AN181" s="111"/>
      <c r="AO181" s="111"/>
      <c r="AP181" s="112"/>
      <c r="AQ181" s="89" t="s">
        <v>230</v>
      </c>
      <c r="AR181" s="90"/>
      <c r="AS181" s="90"/>
      <c r="AT181" s="90"/>
      <c r="AU181" s="90"/>
      <c r="AV181" s="90"/>
      <c r="AW181" s="91"/>
    </row>
    <row r="182" spans="1:840" s="15" customFormat="1" ht="27" customHeight="1">
      <c r="A182" s="92">
        <f t="shared" si="4"/>
        <v>47</v>
      </c>
      <c r="B182" s="91"/>
      <c r="C182" s="93" t="str">
        <f>C51</f>
        <v>BOLA DELI GULA HALUS</v>
      </c>
      <c r="D182" s="94"/>
      <c r="E182" s="94"/>
      <c r="F182" s="94"/>
      <c r="G182" s="94"/>
      <c r="H182" s="94"/>
      <c r="I182" s="94"/>
      <c r="J182" s="94"/>
      <c r="K182" s="94"/>
      <c r="L182" s="95"/>
      <c r="M182" s="37"/>
      <c r="N182" s="37" t="s">
        <v>75</v>
      </c>
      <c r="O182" s="37"/>
      <c r="P182" s="96" t="s">
        <v>145</v>
      </c>
      <c r="Q182" s="97"/>
      <c r="R182" s="97"/>
      <c r="S182" s="98"/>
      <c r="T182" s="43" t="s">
        <v>82</v>
      </c>
      <c r="U182" s="44"/>
      <c r="V182" s="45"/>
      <c r="W182" s="99" t="s">
        <v>236</v>
      </c>
      <c r="X182" s="97"/>
      <c r="Y182" s="97"/>
      <c r="Z182" s="100"/>
      <c r="AA182" s="92" t="s">
        <v>83</v>
      </c>
      <c r="AB182" s="90"/>
      <c r="AC182" s="90"/>
      <c r="AD182" s="90"/>
      <c r="AE182" s="91"/>
      <c r="AF182" s="92" t="s">
        <v>146</v>
      </c>
      <c r="AG182" s="90"/>
      <c r="AH182" s="90"/>
      <c r="AI182" s="90"/>
      <c r="AJ182" s="90"/>
      <c r="AK182" s="90"/>
      <c r="AL182" s="90"/>
      <c r="AM182" s="125">
        <v>46314</v>
      </c>
      <c r="AN182" s="102"/>
      <c r="AO182" s="102"/>
      <c r="AP182" s="103"/>
      <c r="AQ182" s="89" t="s">
        <v>230</v>
      </c>
      <c r="AR182" s="90"/>
      <c r="AS182" s="90"/>
      <c r="AT182" s="90"/>
      <c r="AU182" s="90"/>
      <c r="AV182" s="90"/>
      <c r="AW182" s="91"/>
      <c r="BC182" s="50"/>
    </row>
    <row r="183" spans="1:840" s="15" customFormat="1" ht="27" customHeight="1">
      <c r="A183" s="92">
        <f t="shared" si="4"/>
        <v>48</v>
      </c>
      <c r="B183" s="91"/>
      <c r="C183" s="93" t="str">
        <f>C52</f>
        <v>BAKER'S BONUS A</v>
      </c>
      <c r="D183" s="94"/>
      <c r="E183" s="94"/>
      <c r="F183" s="94"/>
      <c r="G183" s="94"/>
      <c r="H183" s="94"/>
      <c r="I183" s="94"/>
      <c r="J183" s="94"/>
      <c r="K183" s="94"/>
      <c r="L183" s="95"/>
      <c r="M183" s="38"/>
      <c r="N183" s="37" t="s">
        <v>75</v>
      </c>
      <c r="O183" s="38"/>
      <c r="P183" s="93" t="s">
        <v>147</v>
      </c>
      <c r="Q183" s="94"/>
      <c r="R183" s="94"/>
      <c r="S183" s="117"/>
      <c r="T183" s="43" t="s">
        <v>82</v>
      </c>
      <c r="U183" s="44"/>
      <c r="V183" s="45"/>
      <c r="W183" s="99" t="s">
        <v>235</v>
      </c>
      <c r="X183" s="97"/>
      <c r="Y183" s="97"/>
      <c r="Z183" s="100"/>
      <c r="AA183" s="92" t="s">
        <v>83</v>
      </c>
      <c r="AB183" s="90"/>
      <c r="AC183" s="90"/>
      <c r="AD183" s="90"/>
      <c r="AE183" s="91"/>
      <c r="AF183" s="92" t="s">
        <v>148</v>
      </c>
      <c r="AG183" s="90"/>
      <c r="AH183" s="90"/>
      <c r="AI183" s="90"/>
      <c r="AJ183" s="90"/>
      <c r="AK183" s="90"/>
      <c r="AL183" s="90"/>
      <c r="AM183" s="110" t="s">
        <v>233</v>
      </c>
      <c r="AN183" s="111"/>
      <c r="AO183" s="111"/>
      <c r="AP183" s="112"/>
      <c r="AQ183" s="89" t="s">
        <v>230</v>
      </c>
      <c r="AR183" s="90"/>
      <c r="AS183" s="90"/>
      <c r="AT183" s="90"/>
      <c r="AU183" s="90"/>
      <c r="AV183" s="90"/>
      <c r="AW183" s="91"/>
      <c r="BC183" s="52"/>
    </row>
    <row r="184" spans="1:840" s="15" customFormat="1" ht="27" customHeight="1">
      <c r="A184" s="92">
        <f t="shared" si="4"/>
        <v>49</v>
      </c>
      <c r="B184" s="91"/>
      <c r="C184" s="93" t="str">
        <f>C53</f>
        <v>Frisian Flag Susu Kental Manis Gold</v>
      </c>
      <c r="D184" s="94"/>
      <c r="E184" s="94"/>
      <c r="F184" s="94"/>
      <c r="G184" s="94"/>
      <c r="H184" s="94"/>
      <c r="I184" s="94"/>
      <c r="J184" s="94"/>
      <c r="K184" s="94"/>
      <c r="L184" s="95"/>
      <c r="M184" s="37"/>
      <c r="N184" s="37" t="s">
        <v>75</v>
      </c>
      <c r="O184" s="37"/>
      <c r="P184" s="96" t="s">
        <v>149</v>
      </c>
      <c r="Q184" s="97"/>
      <c r="R184" s="97"/>
      <c r="S184" s="98"/>
      <c r="T184" s="43" t="s">
        <v>82</v>
      </c>
      <c r="U184" s="44"/>
      <c r="V184" s="45"/>
      <c r="W184" s="99" t="s">
        <v>150</v>
      </c>
      <c r="X184" s="97"/>
      <c r="Y184" s="97"/>
      <c r="Z184" s="100"/>
      <c r="AA184" s="92" t="s">
        <v>83</v>
      </c>
      <c r="AB184" s="90"/>
      <c r="AC184" s="90"/>
      <c r="AD184" s="90"/>
      <c r="AE184" s="91"/>
      <c r="AF184" s="92" t="s">
        <v>151</v>
      </c>
      <c r="AG184" s="90"/>
      <c r="AH184" s="90"/>
      <c r="AI184" s="90"/>
      <c r="AJ184" s="90"/>
      <c r="AK184" s="90"/>
      <c r="AL184" s="90"/>
      <c r="AM184" s="125" t="s">
        <v>152</v>
      </c>
      <c r="AN184" s="102"/>
      <c r="AO184" s="102"/>
      <c r="AP184" s="103"/>
      <c r="AQ184" s="89" t="s">
        <v>230</v>
      </c>
      <c r="AR184" s="90"/>
      <c r="AS184" s="90"/>
      <c r="AT184" s="90"/>
      <c r="AU184" s="90"/>
      <c r="AV184" s="90"/>
      <c r="AW184" s="91"/>
      <c r="BC184" s="50"/>
    </row>
    <row r="185" spans="1:840" s="15" customFormat="1" ht="27" customHeight="1">
      <c r="A185" s="92">
        <f t="shared" si="4"/>
        <v>50</v>
      </c>
      <c r="B185" s="91"/>
      <c r="C185" s="93" t="str">
        <f>C54</f>
        <v>Knorr Chicken Seasoning Powder</v>
      </c>
      <c r="D185" s="94"/>
      <c r="E185" s="94"/>
      <c r="F185" s="94"/>
      <c r="G185" s="94"/>
      <c r="H185" s="94"/>
      <c r="I185" s="94"/>
      <c r="J185" s="94"/>
      <c r="K185" s="94"/>
      <c r="L185" s="95"/>
      <c r="M185" s="37"/>
      <c r="N185" s="37" t="s">
        <v>75</v>
      </c>
      <c r="O185" s="37"/>
      <c r="P185" s="96" t="s">
        <v>153</v>
      </c>
      <c r="Q185" s="97"/>
      <c r="R185" s="97"/>
      <c r="S185" s="98"/>
      <c r="T185" s="43" t="s">
        <v>82</v>
      </c>
      <c r="U185" s="44"/>
      <c r="V185" s="45"/>
      <c r="W185" s="99" t="s">
        <v>150</v>
      </c>
      <c r="X185" s="97"/>
      <c r="Y185" s="97"/>
      <c r="Z185" s="100"/>
      <c r="AA185" s="92" t="s">
        <v>83</v>
      </c>
      <c r="AB185" s="90"/>
      <c r="AC185" s="90"/>
      <c r="AD185" s="90"/>
      <c r="AE185" s="91"/>
      <c r="AF185" s="92" t="s">
        <v>154</v>
      </c>
      <c r="AG185" s="90"/>
      <c r="AH185" s="90"/>
      <c r="AI185" s="90"/>
      <c r="AJ185" s="90"/>
      <c r="AK185" s="90"/>
      <c r="AL185" s="90"/>
      <c r="AM185" s="101">
        <v>43935</v>
      </c>
      <c r="AN185" s="102"/>
      <c r="AO185" s="102"/>
      <c r="AP185" s="103"/>
      <c r="AQ185" s="89" t="s">
        <v>230</v>
      </c>
      <c r="AR185" s="90"/>
      <c r="AS185" s="90"/>
      <c r="AT185" s="90"/>
      <c r="AU185" s="90"/>
      <c r="AV185" s="90"/>
      <c r="AW185" s="91"/>
      <c r="BC185" s="50"/>
    </row>
    <row r="186" spans="1:840" s="15" customFormat="1" ht="27" customHeight="1">
      <c r="A186" s="92">
        <f t="shared" si="4"/>
        <v>51</v>
      </c>
      <c r="B186" s="91"/>
      <c r="C186" s="93" t="str">
        <f>C55</f>
        <v>MAIZENAKU</v>
      </c>
      <c r="D186" s="94"/>
      <c r="E186" s="94"/>
      <c r="F186" s="94"/>
      <c r="G186" s="94"/>
      <c r="H186" s="94"/>
      <c r="I186" s="94"/>
      <c r="J186" s="94"/>
      <c r="K186" s="94"/>
      <c r="L186" s="95"/>
      <c r="M186" s="37"/>
      <c r="N186" s="37" t="s">
        <v>75</v>
      </c>
      <c r="O186" s="37"/>
      <c r="P186" s="96" t="s">
        <v>155</v>
      </c>
      <c r="Q186" s="97"/>
      <c r="R186" s="97"/>
      <c r="S186" s="98"/>
      <c r="T186" s="43" t="s">
        <v>82</v>
      </c>
      <c r="U186" s="44"/>
      <c r="V186" s="45"/>
      <c r="W186" s="99" t="s">
        <v>150</v>
      </c>
      <c r="X186" s="97"/>
      <c r="Y186" s="97"/>
      <c r="Z186" s="100"/>
      <c r="AA186" s="92" t="s">
        <v>83</v>
      </c>
      <c r="AB186" s="90"/>
      <c r="AC186" s="90"/>
      <c r="AD186" s="90"/>
      <c r="AE186" s="91"/>
      <c r="AF186" s="92" t="s">
        <v>156</v>
      </c>
      <c r="AG186" s="90"/>
      <c r="AH186" s="90"/>
      <c r="AI186" s="90"/>
      <c r="AJ186" s="90"/>
      <c r="AK186" s="90"/>
      <c r="AL186" s="90"/>
      <c r="AM186" s="101">
        <v>44726</v>
      </c>
      <c r="AN186" s="102"/>
      <c r="AO186" s="102"/>
      <c r="AP186" s="103"/>
      <c r="AQ186" s="89" t="s">
        <v>230</v>
      </c>
      <c r="AR186" s="90"/>
      <c r="AS186" s="90"/>
      <c r="AT186" s="90"/>
      <c r="AU186" s="90"/>
      <c r="AV186" s="90"/>
      <c r="AW186" s="91"/>
      <c r="BC186" s="52"/>
    </row>
    <row r="187" spans="1:840" s="15" customFormat="1" ht="27" customHeight="1">
      <c r="A187" s="92">
        <f t="shared" si="4"/>
        <v>52</v>
      </c>
      <c r="B187" s="91"/>
      <c r="C187" s="93" t="str">
        <f>C56</f>
        <v>JAVARA BALI ARTISAN SALT FLEUR DE SEL</v>
      </c>
      <c r="D187" s="94"/>
      <c r="E187" s="94"/>
      <c r="F187" s="94"/>
      <c r="G187" s="94"/>
      <c r="H187" s="94"/>
      <c r="I187" s="94"/>
      <c r="J187" s="94"/>
      <c r="K187" s="94"/>
      <c r="L187" s="95"/>
      <c r="M187" s="37"/>
      <c r="N187" s="37"/>
      <c r="O187" s="37" t="s">
        <v>75</v>
      </c>
      <c r="P187" s="93" t="s">
        <v>157</v>
      </c>
      <c r="Q187" s="94"/>
      <c r="R187" s="94"/>
      <c r="S187" s="117"/>
      <c r="T187" s="43" t="s">
        <v>82</v>
      </c>
      <c r="U187" s="44"/>
      <c r="V187" s="45"/>
      <c r="W187" s="121" t="s">
        <v>157</v>
      </c>
      <c r="X187" s="94"/>
      <c r="Y187" s="94"/>
      <c r="Z187" s="95"/>
      <c r="AA187" s="96" t="s">
        <v>83</v>
      </c>
      <c r="AB187" s="97"/>
      <c r="AC187" s="97"/>
      <c r="AD187" s="97"/>
      <c r="AE187" s="100"/>
      <c r="AF187" s="108" t="s">
        <v>158</v>
      </c>
      <c r="AG187" s="109"/>
      <c r="AH187" s="109"/>
      <c r="AI187" s="109"/>
      <c r="AJ187" s="109"/>
      <c r="AK187" s="109"/>
      <c r="AL187" s="109"/>
      <c r="AM187" s="122">
        <v>46063</v>
      </c>
      <c r="AN187" s="123"/>
      <c r="AO187" s="123"/>
      <c r="AP187" s="124"/>
      <c r="AQ187" s="89" t="s">
        <v>230</v>
      </c>
      <c r="AR187" s="90"/>
      <c r="AS187" s="90"/>
      <c r="AT187" s="90"/>
      <c r="AU187" s="90"/>
      <c r="AV187" s="90"/>
      <c r="AW187" s="91"/>
      <c r="BC187" s="50"/>
    </row>
    <row r="188" spans="1:840" s="16" customFormat="1" ht="27" customHeight="1">
      <c r="A188" s="92">
        <f t="shared" si="4"/>
        <v>53</v>
      </c>
      <c r="B188" s="91"/>
      <c r="C188" s="93" t="str">
        <f>C57</f>
        <v>Lada Hitam Bubuk</v>
      </c>
      <c r="D188" s="94"/>
      <c r="E188" s="94"/>
      <c r="F188" s="94"/>
      <c r="G188" s="94"/>
      <c r="H188" s="94"/>
      <c r="I188" s="94"/>
      <c r="J188" s="94"/>
      <c r="K188" s="94"/>
      <c r="L188" s="95"/>
      <c r="M188" s="37"/>
      <c r="N188" s="37" t="s">
        <v>75</v>
      </c>
      <c r="O188" s="37"/>
      <c r="P188" s="93" t="s">
        <v>159</v>
      </c>
      <c r="Q188" s="94"/>
      <c r="R188" s="94"/>
      <c r="S188" s="117"/>
      <c r="T188" s="43" t="s">
        <v>82</v>
      </c>
      <c r="U188" s="44"/>
      <c r="V188" s="45"/>
      <c r="W188" s="99" t="s">
        <v>160</v>
      </c>
      <c r="X188" s="97"/>
      <c r="Y188" s="97"/>
      <c r="Z188" s="100"/>
      <c r="AA188" s="105"/>
      <c r="AB188" s="106"/>
      <c r="AC188" s="106"/>
      <c r="AD188" s="106"/>
      <c r="AE188" s="107"/>
      <c r="AF188" s="105"/>
      <c r="AG188" s="106"/>
      <c r="AH188" s="106"/>
      <c r="AI188" s="106"/>
      <c r="AJ188" s="106"/>
      <c r="AK188" s="106"/>
      <c r="AL188" s="106"/>
      <c r="AM188" s="118"/>
      <c r="AN188" s="119"/>
      <c r="AO188" s="119"/>
      <c r="AP188" s="120"/>
      <c r="AQ188" s="92" t="s">
        <v>118</v>
      </c>
      <c r="AR188" s="90"/>
      <c r="AS188" s="90"/>
      <c r="AT188" s="90"/>
      <c r="AU188" s="90"/>
      <c r="AV188" s="90"/>
      <c r="AW188" s="34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  <c r="IT188" s="15"/>
      <c r="IU188" s="15"/>
      <c r="IV188" s="15"/>
      <c r="IW188" s="15"/>
      <c r="IX188" s="15"/>
      <c r="IY188" s="15"/>
      <c r="IZ188" s="15"/>
      <c r="JA188" s="15"/>
      <c r="JB188" s="15"/>
      <c r="JC188" s="15"/>
      <c r="JD188" s="15"/>
      <c r="JE188" s="15"/>
      <c r="JF188" s="15"/>
      <c r="JG188" s="15"/>
      <c r="JH188" s="15"/>
      <c r="JI188" s="15"/>
      <c r="JJ188" s="15"/>
      <c r="JK188" s="15"/>
      <c r="JL188" s="15"/>
      <c r="JM188" s="15"/>
      <c r="JN188" s="15"/>
      <c r="JO188" s="15"/>
      <c r="JP188" s="15"/>
      <c r="JQ188" s="15"/>
      <c r="JR188" s="15"/>
      <c r="JS188" s="15"/>
      <c r="JT188" s="15"/>
      <c r="JU188" s="15"/>
      <c r="JV188" s="15"/>
      <c r="JW188" s="15"/>
      <c r="JX188" s="15"/>
      <c r="JY188" s="15"/>
      <c r="JZ188" s="15"/>
      <c r="KA188" s="15"/>
      <c r="KB188" s="15"/>
      <c r="KC188" s="15"/>
      <c r="KD188" s="15"/>
      <c r="KE188" s="15"/>
      <c r="KF188" s="15"/>
      <c r="KG188" s="15"/>
      <c r="KH188" s="15"/>
      <c r="KI188" s="15"/>
      <c r="KJ188" s="15"/>
      <c r="KK188" s="15"/>
      <c r="KL188" s="15"/>
      <c r="KM188" s="15"/>
      <c r="KN188" s="15"/>
      <c r="KO188" s="15"/>
      <c r="KP188" s="15"/>
      <c r="KQ188" s="15"/>
      <c r="KR188" s="15"/>
      <c r="KS188" s="15"/>
      <c r="KT188" s="15"/>
      <c r="KU188" s="15"/>
      <c r="KV188" s="15"/>
      <c r="KW188" s="15"/>
      <c r="KX188" s="15"/>
      <c r="KY188" s="15"/>
      <c r="KZ188" s="15"/>
      <c r="LA188" s="15"/>
      <c r="LB188" s="15"/>
      <c r="LC188" s="15"/>
      <c r="LD188" s="15"/>
      <c r="LE188" s="15"/>
      <c r="LF188" s="15"/>
      <c r="LG188" s="15"/>
      <c r="LH188" s="15"/>
      <c r="LI188" s="15"/>
      <c r="LJ188" s="15"/>
      <c r="LK188" s="15"/>
      <c r="LL188" s="15"/>
      <c r="LM188" s="15"/>
      <c r="LN188" s="15"/>
      <c r="LO188" s="15"/>
      <c r="LP188" s="15"/>
      <c r="LQ188" s="15"/>
      <c r="LR188" s="15"/>
      <c r="LS188" s="15"/>
      <c r="LT188" s="15"/>
      <c r="LU188" s="15"/>
      <c r="LV188" s="15"/>
      <c r="LW188" s="15"/>
      <c r="LX188" s="15"/>
      <c r="LY188" s="15"/>
      <c r="LZ188" s="15"/>
      <c r="MA188" s="15"/>
      <c r="MB188" s="15"/>
      <c r="MC188" s="15"/>
      <c r="MD188" s="15"/>
      <c r="ME188" s="15"/>
      <c r="MF188" s="15"/>
      <c r="MG188" s="15"/>
      <c r="MH188" s="15"/>
      <c r="MI188" s="15"/>
      <c r="MJ188" s="15"/>
      <c r="MK188" s="15"/>
      <c r="ML188" s="15"/>
      <c r="MM188" s="15"/>
      <c r="MN188" s="15"/>
      <c r="MO188" s="15"/>
      <c r="MP188" s="15"/>
      <c r="MQ188" s="15"/>
      <c r="MR188" s="15"/>
      <c r="MS188" s="15"/>
      <c r="MT188" s="15"/>
      <c r="MU188" s="15"/>
      <c r="MV188" s="15"/>
      <c r="MW188" s="15"/>
      <c r="MX188" s="15"/>
      <c r="MY188" s="15"/>
      <c r="MZ188" s="15"/>
      <c r="NA188" s="15"/>
      <c r="NB188" s="15"/>
      <c r="NC188" s="15"/>
      <c r="ND188" s="15"/>
      <c r="NE188" s="15"/>
      <c r="NF188" s="15"/>
      <c r="NG188" s="15"/>
      <c r="NH188" s="15"/>
      <c r="NI188" s="15"/>
      <c r="NJ188" s="15"/>
      <c r="NK188" s="15"/>
      <c r="NL188" s="15"/>
      <c r="NM188" s="15"/>
      <c r="NN188" s="15"/>
      <c r="NO188" s="15"/>
      <c r="NP188" s="15"/>
      <c r="NQ188" s="15"/>
      <c r="NR188" s="15"/>
      <c r="NS188" s="15"/>
      <c r="NT188" s="15"/>
      <c r="NU188" s="15"/>
      <c r="NV188" s="15"/>
      <c r="NW188" s="15"/>
      <c r="NX188" s="15"/>
      <c r="NY188" s="15"/>
      <c r="NZ188" s="15"/>
      <c r="OA188" s="15"/>
      <c r="OB188" s="15"/>
      <c r="OC188" s="15"/>
      <c r="OD188" s="15"/>
      <c r="OE188" s="15"/>
      <c r="OF188" s="15"/>
      <c r="OG188" s="15"/>
      <c r="OH188" s="15"/>
      <c r="OI188" s="15"/>
      <c r="OJ188" s="15"/>
      <c r="OK188" s="15"/>
      <c r="OL188" s="15"/>
      <c r="OM188" s="15"/>
      <c r="ON188" s="15"/>
      <c r="OO188" s="15"/>
      <c r="OP188" s="15"/>
      <c r="OQ188" s="15"/>
      <c r="OR188" s="15"/>
      <c r="OS188" s="15"/>
      <c r="OT188" s="15"/>
      <c r="OU188" s="15"/>
      <c r="OV188" s="15"/>
      <c r="OW188" s="15"/>
      <c r="OX188" s="15"/>
      <c r="OY188" s="15"/>
      <c r="OZ188" s="15"/>
      <c r="PA188" s="15"/>
      <c r="PB188" s="15"/>
      <c r="PC188" s="15"/>
      <c r="PD188" s="15"/>
      <c r="PE188" s="15"/>
      <c r="PF188" s="15"/>
      <c r="PG188" s="15"/>
      <c r="PH188" s="15"/>
      <c r="PI188" s="15"/>
      <c r="PJ188" s="15"/>
      <c r="PK188" s="15"/>
      <c r="PL188" s="15"/>
      <c r="PM188" s="15"/>
      <c r="PN188" s="15"/>
      <c r="PO188" s="15"/>
      <c r="PP188" s="15"/>
      <c r="PQ188" s="15"/>
      <c r="PR188" s="15"/>
      <c r="PS188" s="15"/>
      <c r="PT188" s="15"/>
      <c r="PU188" s="15"/>
      <c r="PV188" s="15"/>
      <c r="PW188" s="15"/>
      <c r="PX188" s="15"/>
      <c r="PY188" s="15"/>
      <c r="PZ188" s="15"/>
      <c r="QA188" s="15"/>
      <c r="QB188" s="15"/>
      <c r="QC188" s="15"/>
      <c r="QD188" s="15"/>
      <c r="QE188" s="15"/>
      <c r="QF188" s="15"/>
      <c r="QG188" s="15"/>
      <c r="QH188" s="15"/>
      <c r="QI188" s="15"/>
      <c r="QJ188" s="15"/>
      <c r="QK188" s="15"/>
      <c r="QL188" s="15"/>
      <c r="QM188" s="15"/>
      <c r="QN188" s="15"/>
      <c r="QO188" s="15"/>
      <c r="QP188" s="15"/>
      <c r="QQ188" s="15"/>
      <c r="QR188" s="15"/>
      <c r="QS188" s="15"/>
      <c r="QT188" s="15"/>
      <c r="QU188" s="15"/>
      <c r="QV188" s="15"/>
      <c r="QW188" s="15"/>
      <c r="QX188" s="15"/>
      <c r="QY188" s="15"/>
      <c r="QZ188" s="15"/>
      <c r="RA188" s="15"/>
      <c r="RB188" s="15"/>
      <c r="RC188" s="15"/>
      <c r="RD188" s="15"/>
      <c r="RE188" s="15"/>
      <c r="RF188" s="15"/>
      <c r="RG188" s="15"/>
      <c r="RH188" s="15"/>
      <c r="RI188" s="15"/>
      <c r="RJ188" s="15"/>
      <c r="RK188" s="15"/>
      <c r="RL188" s="15"/>
      <c r="RM188" s="15"/>
      <c r="RN188" s="15"/>
      <c r="RO188" s="15"/>
      <c r="RP188" s="15"/>
      <c r="RQ188" s="15"/>
      <c r="RR188" s="15"/>
      <c r="RS188" s="15"/>
      <c r="RT188" s="15"/>
      <c r="RU188" s="15"/>
      <c r="RV188" s="15"/>
      <c r="RW188" s="15"/>
      <c r="RX188" s="15"/>
      <c r="RY188" s="15"/>
      <c r="RZ188" s="15"/>
      <c r="SA188" s="15"/>
      <c r="SB188" s="15"/>
      <c r="SC188" s="15"/>
      <c r="SD188" s="15"/>
      <c r="SE188" s="15"/>
      <c r="SF188" s="15"/>
      <c r="SG188" s="15"/>
      <c r="SH188" s="15"/>
      <c r="SI188" s="15"/>
      <c r="SJ188" s="15"/>
      <c r="SK188" s="15"/>
      <c r="SL188" s="15"/>
      <c r="SM188" s="15"/>
      <c r="SN188" s="15"/>
      <c r="SO188" s="15"/>
      <c r="SP188" s="15"/>
      <c r="SQ188" s="15"/>
      <c r="SR188" s="15"/>
      <c r="SS188" s="15"/>
      <c r="ST188" s="15"/>
      <c r="SU188" s="15"/>
      <c r="SV188" s="15"/>
      <c r="SW188" s="15"/>
      <c r="SX188" s="15"/>
      <c r="SY188" s="15"/>
      <c r="SZ188" s="15"/>
      <c r="TA188" s="15"/>
      <c r="TB188" s="15"/>
      <c r="TC188" s="15"/>
      <c r="TD188" s="15"/>
      <c r="TE188" s="15"/>
      <c r="TF188" s="15"/>
      <c r="TG188" s="15"/>
      <c r="TH188" s="15"/>
      <c r="TI188" s="15"/>
      <c r="TJ188" s="15"/>
      <c r="TK188" s="15"/>
      <c r="TL188" s="15"/>
      <c r="TM188" s="15"/>
      <c r="TN188" s="15"/>
      <c r="TO188" s="15"/>
      <c r="TP188" s="15"/>
      <c r="TQ188" s="15"/>
      <c r="TR188" s="15"/>
      <c r="TS188" s="15"/>
      <c r="TT188" s="15"/>
      <c r="TU188" s="15"/>
      <c r="TV188" s="15"/>
      <c r="TW188" s="15"/>
      <c r="TX188" s="15"/>
      <c r="TY188" s="15"/>
      <c r="TZ188" s="15"/>
      <c r="UA188" s="15"/>
      <c r="UB188" s="15"/>
      <c r="UC188" s="15"/>
      <c r="UD188" s="15"/>
      <c r="UE188" s="15"/>
      <c r="UF188" s="15"/>
      <c r="UG188" s="15"/>
      <c r="UH188" s="15"/>
      <c r="UI188" s="15"/>
      <c r="UJ188" s="15"/>
      <c r="UK188" s="15"/>
      <c r="UL188" s="15"/>
      <c r="UM188" s="15"/>
      <c r="UN188" s="15"/>
      <c r="UO188" s="15"/>
      <c r="UP188" s="15"/>
      <c r="UQ188" s="15"/>
      <c r="UR188" s="15"/>
      <c r="US188" s="15"/>
      <c r="UT188" s="15"/>
      <c r="UU188" s="15"/>
      <c r="UV188" s="15"/>
      <c r="UW188" s="15"/>
      <c r="UX188" s="15"/>
      <c r="UY188" s="15"/>
      <c r="UZ188" s="15"/>
      <c r="VA188" s="15"/>
      <c r="VB188" s="15"/>
      <c r="VC188" s="15"/>
      <c r="VD188" s="15"/>
      <c r="VE188" s="15"/>
      <c r="VF188" s="15"/>
      <c r="VG188" s="15"/>
      <c r="VH188" s="15"/>
      <c r="VI188" s="15"/>
      <c r="VJ188" s="15"/>
      <c r="VK188" s="15"/>
      <c r="VL188" s="15"/>
      <c r="VM188" s="15"/>
      <c r="VN188" s="15"/>
      <c r="VO188" s="15"/>
      <c r="VP188" s="15"/>
      <c r="VQ188" s="15"/>
      <c r="VR188" s="15"/>
      <c r="VS188" s="15"/>
      <c r="VT188" s="15"/>
      <c r="VU188" s="15"/>
      <c r="VV188" s="15"/>
      <c r="VW188" s="15"/>
      <c r="VX188" s="15"/>
      <c r="VY188" s="15"/>
      <c r="VZ188" s="15"/>
      <c r="WA188" s="15"/>
      <c r="WB188" s="15"/>
      <c r="WC188" s="15"/>
      <c r="WD188" s="15"/>
      <c r="WE188" s="15"/>
      <c r="WF188" s="15"/>
      <c r="WG188" s="15"/>
      <c r="WH188" s="15"/>
      <c r="WI188" s="15"/>
      <c r="WJ188" s="15"/>
      <c r="WK188" s="15"/>
      <c r="WL188" s="15"/>
      <c r="WM188" s="15"/>
      <c r="WN188" s="15"/>
      <c r="WO188" s="15"/>
      <c r="WP188" s="15"/>
      <c r="WQ188" s="15"/>
      <c r="WR188" s="15"/>
      <c r="WS188" s="15"/>
      <c r="WT188" s="15"/>
      <c r="WU188" s="15"/>
      <c r="WV188" s="15"/>
      <c r="WW188" s="15"/>
      <c r="WX188" s="15"/>
      <c r="WY188" s="15"/>
      <c r="WZ188" s="15"/>
      <c r="XA188" s="15"/>
      <c r="XB188" s="15"/>
      <c r="XC188" s="15"/>
      <c r="XD188" s="15"/>
      <c r="XE188" s="15"/>
      <c r="XF188" s="15"/>
      <c r="XG188" s="15"/>
      <c r="XH188" s="15"/>
      <c r="XI188" s="15"/>
      <c r="XJ188" s="15"/>
      <c r="XK188" s="15"/>
      <c r="XL188" s="15"/>
      <c r="XM188" s="15"/>
      <c r="XN188" s="15"/>
      <c r="XO188" s="15"/>
      <c r="XP188" s="15"/>
      <c r="XQ188" s="15"/>
      <c r="XR188" s="15"/>
      <c r="XS188" s="15"/>
      <c r="XT188" s="15"/>
      <c r="XU188" s="15"/>
      <c r="XV188" s="15"/>
      <c r="XW188" s="15"/>
      <c r="XX188" s="15"/>
      <c r="XY188" s="15"/>
      <c r="XZ188" s="15"/>
      <c r="YA188" s="15"/>
      <c r="YB188" s="15"/>
      <c r="YC188" s="15"/>
      <c r="YD188" s="15"/>
      <c r="YE188" s="15"/>
      <c r="YF188" s="15"/>
      <c r="YG188" s="15"/>
      <c r="YH188" s="15"/>
      <c r="YI188" s="15"/>
      <c r="YJ188" s="15"/>
      <c r="YK188" s="15"/>
      <c r="YL188" s="15"/>
      <c r="YM188" s="15"/>
      <c r="YN188" s="15"/>
      <c r="YO188" s="15"/>
      <c r="YP188" s="15"/>
      <c r="YQ188" s="15"/>
      <c r="YR188" s="15"/>
      <c r="YS188" s="15"/>
      <c r="YT188" s="15"/>
      <c r="YU188" s="15"/>
      <c r="YV188" s="15"/>
      <c r="YW188" s="15"/>
      <c r="YX188" s="15"/>
      <c r="YY188" s="15"/>
      <c r="YZ188" s="15"/>
      <c r="ZA188" s="15"/>
      <c r="ZB188" s="15"/>
      <c r="ZC188" s="15"/>
      <c r="ZD188" s="15"/>
      <c r="ZE188" s="15"/>
      <c r="ZF188" s="15"/>
      <c r="ZG188" s="15"/>
      <c r="ZH188" s="15"/>
      <c r="ZI188" s="15"/>
      <c r="ZJ188" s="15"/>
      <c r="ZK188" s="15"/>
      <c r="ZL188" s="15"/>
      <c r="ZM188" s="15"/>
      <c r="ZN188" s="15"/>
      <c r="ZO188" s="15"/>
      <c r="ZP188" s="15"/>
      <c r="ZQ188" s="15"/>
      <c r="ZR188" s="15"/>
      <c r="ZS188" s="15"/>
      <c r="ZT188" s="15"/>
      <c r="ZU188" s="15"/>
      <c r="ZV188" s="15"/>
      <c r="ZW188" s="15"/>
      <c r="ZX188" s="15"/>
      <c r="ZY188" s="15"/>
      <c r="ZZ188" s="15"/>
      <c r="AAA188" s="15"/>
      <c r="AAB188" s="15"/>
      <c r="AAC188" s="15"/>
      <c r="AAD188" s="15"/>
      <c r="AAE188" s="15"/>
      <c r="AAF188" s="15"/>
      <c r="AAG188" s="15"/>
      <c r="AAH188" s="15"/>
      <c r="AAI188" s="15"/>
      <c r="AAJ188" s="15"/>
      <c r="AAK188" s="15"/>
      <c r="AAL188" s="15"/>
      <c r="AAM188" s="15"/>
      <c r="AAN188" s="15"/>
      <c r="AAO188" s="15"/>
      <c r="AAP188" s="15"/>
      <c r="AAQ188" s="15"/>
      <c r="AAR188" s="15"/>
      <c r="AAS188" s="15"/>
      <c r="AAT188" s="15"/>
      <c r="AAU188" s="15"/>
      <c r="AAV188" s="15"/>
      <c r="AAW188" s="15"/>
      <c r="AAX188" s="15"/>
      <c r="AAY188" s="15"/>
      <c r="AAZ188" s="15"/>
      <c r="ABA188" s="15"/>
      <c r="ABB188" s="15"/>
      <c r="ABC188" s="15"/>
      <c r="ABD188" s="15"/>
      <c r="ABE188" s="15"/>
      <c r="ABF188" s="15"/>
      <c r="ABG188" s="15"/>
      <c r="ABH188" s="15"/>
      <c r="ABI188" s="15"/>
      <c r="ABJ188" s="15"/>
      <c r="ABK188" s="15"/>
      <c r="ABL188" s="15"/>
      <c r="ABM188" s="15"/>
      <c r="ABN188" s="15"/>
      <c r="ABO188" s="15"/>
      <c r="ABP188" s="15"/>
      <c r="ABQ188" s="15"/>
      <c r="ABR188" s="15"/>
      <c r="ABS188" s="15"/>
      <c r="ABT188" s="15"/>
      <c r="ABU188" s="15"/>
      <c r="ABV188" s="15"/>
      <c r="ABW188" s="15"/>
      <c r="ABX188" s="15"/>
      <c r="ABY188" s="15"/>
      <c r="ABZ188" s="15"/>
      <c r="ACA188" s="15"/>
      <c r="ACB188" s="15"/>
      <c r="ACC188" s="15"/>
      <c r="ACD188" s="15"/>
      <c r="ACE188" s="15"/>
      <c r="ACF188" s="15"/>
      <c r="ACG188" s="15"/>
      <c r="ACH188" s="15"/>
      <c r="ACI188" s="15"/>
      <c r="ACJ188" s="15"/>
      <c r="ACK188" s="15"/>
      <c r="ACL188" s="15"/>
      <c r="ACM188" s="15"/>
      <c r="ACN188" s="15"/>
      <c r="ACO188" s="15"/>
      <c r="ACP188" s="15"/>
      <c r="ACQ188" s="15"/>
      <c r="ACR188" s="15"/>
      <c r="ACS188" s="15"/>
      <c r="ACT188" s="15"/>
      <c r="ACU188" s="15"/>
      <c r="ACV188" s="15"/>
      <c r="ACW188" s="15"/>
      <c r="ACX188" s="15"/>
      <c r="ACY188" s="15"/>
      <c r="ACZ188" s="15"/>
      <c r="ADA188" s="15"/>
      <c r="ADB188" s="15"/>
      <c r="ADC188" s="15"/>
      <c r="ADD188" s="15"/>
      <c r="ADE188" s="15"/>
      <c r="ADF188" s="15"/>
      <c r="ADG188" s="15"/>
      <c r="ADH188" s="15"/>
      <c r="ADI188" s="15"/>
      <c r="ADJ188" s="15"/>
      <c r="ADK188" s="15"/>
      <c r="ADL188" s="15"/>
      <c r="ADM188" s="15"/>
      <c r="ADN188" s="15"/>
      <c r="ADO188" s="15"/>
      <c r="ADP188" s="15"/>
      <c r="ADQ188" s="15"/>
      <c r="ADR188" s="15"/>
      <c r="ADS188" s="15"/>
      <c r="ADT188" s="15"/>
      <c r="ADU188" s="15"/>
      <c r="ADV188" s="15"/>
      <c r="ADW188" s="15"/>
      <c r="ADX188" s="15"/>
      <c r="ADY188" s="15"/>
      <c r="ADZ188" s="15"/>
      <c r="AEA188" s="15"/>
      <c r="AEB188" s="15"/>
      <c r="AEC188" s="15"/>
      <c r="AED188" s="15"/>
      <c r="AEE188" s="15"/>
      <c r="AEF188" s="15"/>
      <c r="AEG188" s="15"/>
      <c r="AEH188" s="15"/>
      <c r="AEI188" s="15"/>
      <c r="AEJ188" s="15"/>
      <c r="AEK188" s="15"/>
      <c r="AEL188" s="15"/>
      <c r="AEM188" s="15"/>
      <c r="AEN188" s="15"/>
      <c r="AEO188" s="15"/>
      <c r="AEP188" s="15"/>
      <c r="AEQ188" s="15"/>
      <c r="AER188" s="15"/>
      <c r="AES188" s="15"/>
      <c r="AET188" s="15"/>
      <c r="AEU188" s="15"/>
      <c r="AEV188" s="15"/>
      <c r="AEW188" s="15"/>
      <c r="AEX188" s="15"/>
      <c r="AEY188" s="15"/>
      <c r="AEZ188" s="15"/>
      <c r="AFA188" s="15"/>
      <c r="AFB188" s="15"/>
      <c r="AFC188" s="15"/>
      <c r="AFD188" s="15"/>
      <c r="AFE188" s="15"/>
      <c r="AFF188" s="15"/>
      <c r="AFG188" s="15"/>
      <c r="AFH188" s="15"/>
    </row>
    <row r="189" spans="1:840" s="16" customFormat="1" ht="27" customHeight="1">
      <c r="A189" s="92">
        <f t="shared" si="4"/>
        <v>54</v>
      </c>
      <c r="B189" s="91"/>
      <c r="C189" s="93" t="str">
        <f>C58</f>
        <v>Cinnamon powder</v>
      </c>
      <c r="D189" s="94"/>
      <c r="E189" s="94"/>
      <c r="F189" s="94"/>
      <c r="G189" s="94"/>
      <c r="H189" s="94"/>
      <c r="I189" s="94"/>
      <c r="J189" s="94"/>
      <c r="K189" s="94"/>
      <c r="L189" s="95"/>
      <c r="M189" s="37"/>
      <c r="N189" s="37" t="s">
        <v>75</v>
      </c>
      <c r="O189" s="37"/>
      <c r="P189" s="93" t="s">
        <v>159</v>
      </c>
      <c r="Q189" s="94"/>
      <c r="R189" s="94"/>
      <c r="S189" s="117"/>
      <c r="T189" s="43" t="s">
        <v>82</v>
      </c>
      <c r="U189" s="44"/>
      <c r="V189" s="45"/>
      <c r="W189" s="99" t="s">
        <v>160</v>
      </c>
      <c r="X189" s="97"/>
      <c r="Y189" s="97"/>
      <c r="Z189" s="100"/>
      <c r="AA189" s="105"/>
      <c r="AB189" s="106"/>
      <c r="AC189" s="106"/>
      <c r="AD189" s="106"/>
      <c r="AE189" s="107"/>
      <c r="AF189" s="105"/>
      <c r="AG189" s="106"/>
      <c r="AH189" s="106"/>
      <c r="AI189" s="106"/>
      <c r="AJ189" s="106"/>
      <c r="AK189" s="106"/>
      <c r="AL189" s="106"/>
      <c r="AM189" s="118"/>
      <c r="AN189" s="119"/>
      <c r="AO189" s="119"/>
      <c r="AP189" s="120"/>
      <c r="AQ189" s="92" t="s">
        <v>118</v>
      </c>
      <c r="AR189" s="90"/>
      <c r="AS189" s="90"/>
      <c r="AT189" s="90"/>
      <c r="AU189" s="90"/>
      <c r="AV189" s="90"/>
      <c r="AW189" s="34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  <c r="IT189" s="15"/>
      <c r="IU189" s="15"/>
      <c r="IV189" s="15"/>
      <c r="IW189" s="15"/>
      <c r="IX189" s="15"/>
      <c r="IY189" s="15"/>
      <c r="IZ189" s="15"/>
      <c r="JA189" s="15"/>
      <c r="JB189" s="15"/>
      <c r="JC189" s="15"/>
      <c r="JD189" s="15"/>
      <c r="JE189" s="15"/>
      <c r="JF189" s="15"/>
      <c r="JG189" s="15"/>
      <c r="JH189" s="15"/>
      <c r="JI189" s="15"/>
      <c r="JJ189" s="15"/>
      <c r="JK189" s="15"/>
      <c r="JL189" s="15"/>
      <c r="JM189" s="15"/>
      <c r="JN189" s="15"/>
      <c r="JO189" s="15"/>
      <c r="JP189" s="15"/>
      <c r="JQ189" s="15"/>
      <c r="JR189" s="15"/>
      <c r="JS189" s="15"/>
      <c r="JT189" s="15"/>
      <c r="JU189" s="15"/>
      <c r="JV189" s="15"/>
      <c r="JW189" s="15"/>
      <c r="JX189" s="15"/>
      <c r="JY189" s="15"/>
      <c r="JZ189" s="15"/>
      <c r="KA189" s="15"/>
      <c r="KB189" s="15"/>
      <c r="KC189" s="15"/>
      <c r="KD189" s="15"/>
      <c r="KE189" s="15"/>
      <c r="KF189" s="15"/>
      <c r="KG189" s="15"/>
      <c r="KH189" s="15"/>
      <c r="KI189" s="15"/>
      <c r="KJ189" s="15"/>
      <c r="KK189" s="15"/>
      <c r="KL189" s="15"/>
      <c r="KM189" s="15"/>
      <c r="KN189" s="15"/>
      <c r="KO189" s="15"/>
      <c r="KP189" s="15"/>
      <c r="KQ189" s="15"/>
      <c r="KR189" s="15"/>
      <c r="KS189" s="15"/>
      <c r="KT189" s="15"/>
      <c r="KU189" s="15"/>
      <c r="KV189" s="15"/>
      <c r="KW189" s="15"/>
      <c r="KX189" s="15"/>
      <c r="KY189" s="15"/>
      <c r="KZ189" s="15"/>
      <c r="LA189" s="15"/>
      <c r="LB189" s="15"/>
      <c r="LC189" s="15"/>
      <c r="LD189" s="15"/>
      <c r="LE189" s="15"/>
      <c r="LF189" s="15"/>
      <c r="LG189" s="15"/>
      <c r="LH189" s="15"/>
      <c r="LI189" s="15"/>
      <c r="LJ189" s="15"/>
      <c r="LK189" s="15"/>
      <c r="LL189" s="15"/>
      <c r="LM189" s="15"/>
      <c r="LN189" s="15"/>
      <c r="LO189" s="15"/>
      <c r="LP189" s="15"/>
      <c r="LQ189" s="15"/>
      <c r="LR189" s="15"/>
      <c r="LS189" s="15"/>
      <c r="LT189" s="15"/>
      <c r="LU189" s="15"/>
      <c r="LV189" s="15"/>
      <c r="LW189" s="15"/>
      <c r="LX189" s="15"/>
      <c r="LY189" s="15"/>
      <c r="LZ189" s="15"/>
      <c r="MA189" s="15"/>
      <c r="MB189" s="15"/>
      <c r="MC189" s="15"/>
      <c r="MD189" s="15"/>
      <c r="ME189" s="15"/>
      <c r="MF189" s="15"/>
      <c r="MG189" s="15"/>
      <c r="MH189" s="15"/>
      <c r="MI189" s="15"/>
      <c r="MJ189" s="15"/>
      <c r="MK189" s="15"/>
      <c r="ML189" s="15"/>
      <c r="MM189" s="15"/>
      <c r="MN189" s="15"/>
      <c r="MO189" s="15"/>
      <c r="MP189" s="15"/>
      <c r="MQ189" s="15"/>
      <c r="MR189" s="15"/>
      <c r="MS189" s="15"/>
      <c r="MT189" s="15"/>
      <c r="MU189" s="15"/>
      <c r="MV189" s="15"/>
      <c r="MW189" s="15"/>
      <c r="MX189" s="15"/>
      <c r="MY189" s="15"/>
      <c r="MZ189" s="15"/>
      <c r="NA189" s="15"/>
      <c r="NB189" s="15"/>
      <c r="NC189" s="15"/>
      <c r="ND189" s="15"/>
      <c r="NE189" s="15"/>
      <c r="NF189" s="15"/>
      <c r="NG189" s="15"/>
      <c r="NH189" s="15"/>
      <c r="NI189" s="15"/>
      <c r="NJ189" s="15"/>
      <c r="NK189" s="15"/>
      <c r="NL189" s="15"/>
      <c r="NM189" s="15"/>
      <c r="NN189" s="15"/>
      <c r="NO189" s="15"/>
      <c r="NP189" s="15"/>
      <c r="NQ189" s="15"/>
      <c r="NR189" s="15"/>
      <c r="NS189" s="15"/>
      <c r="NT189" s="15"/>
      <c r="NU189" s="15"/>
      <c r="NV189" s="15"/>
      <c r="NW189" s="15"/>
      <c r="NX189" s="15"/>
      <c r="NY189" s="15"/>
      <c r="NZ189" s="15"/>
      <c r="OA189" s="15"/>
      <c r="OB189" s="15"/>
      <c r="OC189" s="15"/>
      <c r="OD189" s="15"/>
      <c r="OE189" s="15"/>
      <c r="OF189" s="15"/>
      <c r="OG189" s="15"/>
      <c r="OH189" s="15"/>
      <c r="OI189" s="15"/>
      <c r="OJ189" s="15"/>
      <c r="OK189" s="15"/>
      <c r="OL189" s="15"/>
      <c r="OM189" s="15"/>
      <c r="ON189" s="15"/>
      <c r="OO189" s="15"/>
      <c r="OP189" s="15"/>
      <c r="OQ189" s="15"/>
      <c r="OR189" s="15"/>
      <c r="OS189" s="15"/>
      <c r="OT189" s="15"/>
      <c r="OU189" s="15"/>
      <c r="OV189" s="15"/>
      <c r="OW189" s="15"/>
      <c r="OX189" s="15"/>
      <c r="OY189" s="15"/>
      <c r="OZ189" s="15"/>
      <c r="PA189" s="15"/>
      <c r="PB189" s="15"/>
      <c r="PC189" s="15"/>
      <c r="PD189" s="15"/>
      <c r="PE189" s="15"/>
      <c r="PF189" s="15"/>
      <c r="PG189" s="15"/>
      <c r="PH189" s="15"/>
      <c r="PI189" s="15"/>
      <c r="PJ189" s="15"/>
      <c r="PK189" s="15"/>
      <c r="PL189" s="15"/>
      <c r="PM189" s="15"/>
      <c r="PN189" s="15"/>
      <c r="PO189" s="15"/>
      <c r="PP189" s="15"/>
      <c r="PQ189" s="15"/>
      <c r="PR189" s="15"/>
      <c r="PS189" s="15"/>
      <c r="PT189" s="15"/>
      <c r="PU189" s="15"/>
      <c r="PV189" s="15"/>
      <c r="PW189" s="15"/>
      <c r="PX189" s="15"/>
      <c r="PY189" s="15"/>
      <c r="PZ189" s="15"/>
      <c r="QA189" s="15"/>
      <c r="QB189" s="15"/>
      <c r="QC189" s="15"/>
      <c r="QD189" s="15"/>
      <c r="QE189" s="15"/>
      <c r="QF189" s="15"/>
      <c r="QG189" s="15"/>
      <c r="QH189" s="15"/>
      <c r="QI189" s="15"/>
      <c r="QJ189" s="15"/>
      <c r="QK189" s="15"/>
      <c r="QL189" s="15"/>
      <c r="QM189" s="15"/>
      <c r="QN189" s="15"/>
      <c r="QO189" s="15"/>
      <c r="QP189" s="15"/>
      <c r="QQ189" s="15"/>
      <c r="QR189" s="15"/>
      <c r="QS189" s="15"/>
      <c r="QT189" s="15"/>
      <c r="QU189" s="15"/>
      <c r="QV189" s="15"/>
      <c r="QW189" s="15"/>
      <c r="QX189" s="15"/>
      <c r="QY189" s="15"/>
      <c r="QZ189" s="15"/>
      <c r="RA189" s="15"/>
      <c r="RB189" s="15"/>
      <c r="RC189" s="15"/>
      <c r="RD189" s="15"/>
      <c r="RE189" s="15"/>
      <c r="RF189" s="15"/>
      <c r="RG189" s="15"/>
      <c r="RH189" s="15"/>
      <c r="RI189" s="15"/>
      <c r="RJ189" s="15"/>
      <c r="RK189" s="15"/>
      <c r="RL189" s="15"/>
      <c r="RM189" s="15"/>
      <c r="RN189" s="15"/>
      <c r="RO189" s="15"/>
      <c r="RP189" s="15"/>
      <c r="RQ189" s="15"/>
      <c r="RR189" s="15"/>
      <c r="RS189" s="15"/>
      <c r="RT189" s="15"/>
      <c r="RU189" s="15"/>
      <c r="RV189" s="15"/>
      <c r="RW189" s="15"/>
      <c r="RX189" s="15"/>
      <c r="RY189" s="15"/>
      <c r="RZ189" s="15"/>
      <c r="SA189" s="15"/>
      <c r="SB189" s="15"/>
      <c r="SC189" s="15"/>
      <c r="SD189" s="15"/>
      <c r="SE189" s="15"/>
      <c r="SF189" s="15"/>
      <c r="SG189" s="15"/>
      <c r="SH189" s="15"/>
      <c r="SI189" s="15"/>
      <c r="SJ189" s="15"/>
      <c r="SK189" s="15"/>
      <c r="SL189" s="15"/>
      <c r="SM189" s="15"/>
      <c r="SN189" s="15"/>
      <c r="SO189" s="15"/>
      <c r="SP189" s="15"/>
      <c r="SQ189" s="15"/>
      <c r="SR189" s="15"/>
      <c r="SS189" s="15"/>
      <c r="ST189" s="15"/>
      <c r="SU189" s="15"/>
      <c r="SV189" s="15"/>
      <c r="SW189" s="15"/>
      <c r="SX189" s="15"/>
      <c r="SY189" s="15"/>
      <c r="SZ189" s="15"/>
      <c r="TA189" s="15"/>
      <c r="TB189" s="15"/>
      <c r="TC189" s="15"/>
      <c r="TD189" s="15"/>
      <c r="TE189" s="15"/>
      <c r="TF189" s="15"/>
      <c r="TG189" s="15"/>
      <c r="TH189" s="15"/>
      <c r="TI189" s="15"/>
      <c r="TJ189" s="15"/>
      <c r="TK189" s="15"/>
      <c r="TL189" s="15"/>
      <c r="TM189" s="15"/>
      <c r="TN189" s="15"/>
      <c r="TO189" s="15"/>
      <c r="TP189" s="15"/>
      <c r="TQ189" s="15"/>
      <c r="TR189" s="15"/>
      <c r="TS189" s="15"/>
      <c r="TT189" s="15"/>
      <c r="TU189" s="15"/>
      <c r="TV189" s="15"/>
      <c r="TW189" s="15"/>
      <c r="TX189" s="15"/>
      <c r="TY189" s="15"/>
      <c r="TZ189" s="15"/>
      <c r="UA189" s="15"/>
      <c r="UB189" s="15"/>
      <c r="UC189" s="15"/>
      <c r="UD189" s="15"/>
      <c r="UE189" s="15"/>
      <c r="UF189" s="15"/>
      <c r="UG189" s="15"/>
      <c r="UH189" s="15"/>
      <c r="UI189" s="15"/>
      <c r="UJ189" s="15"/>
      <c r="UK189" s="15"/>
      <c r="UL189" s="15"/>
      <c r="UM189" s="15"/>
      <c r="UN189" s="15"/>
      <c r="UO189" s="15"/>
      <c r="UP189" s="15"/>
      <c r="UQ189" s="15"/>
      <c r="UR189" s="15"/>
      <c r="US189" s="15"/>
      <c r="UT189" s="15"/>
      <c r="UU189" s="15"/>
      <c r="UV189" s="15"/>
      <c r="UW189" s="15"/>
      <c r="UX189" s="15"/>
      <c r="UY189" s="15"/>
      <c r="UZ189" s="15"/>
      <c r="VA189" s="15"/>
      <c r="VB189" s="15"/>
      <c r="VC189" s="15"/>
      <c r="VD189" s="15"/>
      <c r="VE189" s="15"/>
      <c r="VF189" s="15"/>
      <c r="VG189" s="15"/>
      <c r="VH189" s="15"/>
      <c r="VI189" s="15"/>
      <c r="VJ189" s="15"/>
      <c r="VK189" s="15"/>
      <c r="VL189" s="15"/>
      <c r="VM189" s="15"/>
      <c r="VN189" s="15"/>
      <c r="VO189" s="15"/>
      <c r="VP189" s="15"/>
      <c r="VQ189" s="15"/>
      <c r="VR189" s="15"/>
      <c r="VS189" s="15"/>
      <c r="VT189" s="15"/>
      <c r="VU189" s="15"/>
      <c r="VV189" s="15"/>
      <c r="VW189" s="15"/>
      <c r="VX189" s="15"/>
      <c r="VY189" s="15"/>
      <c r="VZ189" s="15"/>
      <c r="WA189" s="15"/>
      <c r="WB189" s="15"/>
      <c r="WC189" s="15"/>
      <c r="WD189" s="15"/>
      <c r="WE189" s="15"/>
      <c r="WF189" s="15"/>
      <c r="WG189" s="15"/>
      <c r="WH189" s="15"/>
      <c r="WI189" s="15"/>
      <c r="WJ189" s="15"/>
      <c r="WK189" s="15"/>
      <c r="WL189" s="15"/>
      <c r="WM189" s="15"/>
      <c r="WN189" s="15"/>
      <c r="WO189" s="15"/>
      <c r="WP189" s="15"/>
      <c r="WQ189" s="15"/>
      <c r="WR189" s="15"/>
      <c r="WS189" s="15"/>
      <c r="WT189" s="15"/>
      <c r="WU189" s="15"/>
      <c r="WV189" s="15"/>
      <c r="WW189" s="15"/>
      <c r="WX189" s="15"/>
      <c r="WY189" s="15"/>
      <c r="WZ189" s="15"/>
      <c r="XA189" s="15"/>
      <c r="XB189" s="15"/>
      <c r="XC189" s="15"/>
      <c r="XD189" s="15"/>
      <c r="XE189" s="15"/>
      <c r="XF189" s="15"/>
      <c r="XG189" s="15"/>
      <c r="XH189" s="15"/>
      <c r="XI189" s="15"/>
      <c r="XJ189" s="15"/>
      <c r="XK189" s="15"/>
      <c r="XL189" s="15"/>
      <c r="XM189" s="15"/>
      <c r="XN189" s="15"/>
      <c r="XO189" s="15"/>
      <c r="XP189" s="15"/>
      <c r="XQ189" s="15"/>
      <c r="XR189" s="15"/>
      <c r="XS189" s="15"/>
      <c r="XT189" s="15"/>
      <c r="XU189" s="15"/>
      <c r="XV189" s="15"/>
      <c r="XW189" s="15"/>
      <c r="XX189" s="15"/>
      <c r="XY189" s="15"/>
      <c r="XZ189" s="15"/>
      <c r="YA189" s="15"/>
      <c r="YB189" s="15"/>
      <c r="YC189" s="15"/>
      <c r="YD189" s="15"/>
      <c r="YE189" s="15"/>
      <c r="YF189" s="15"/>
      <c r="YG189" s="15"/>
      <c r="YH189" s="15"/>
      <c r="YI189" s="15"/>
      <c r="YJ189" s="15"/>
      <c r="YK189" s="15"/>
      <c r="YL189" s="15"/>
      <c r="YM189" s="15"/>
      <c r="YN189" s="15"/>
      <c r="YO189" s="15"/>
      <c r="YP189" s="15"/>
      <c r="YQ189" s="15"/>
      <c r="YR189" s="15"/>
      <c r="YS189" s="15"/>
      <c r="YT189" s="15"/>
      <c r="YU189" s="15"/>
      <c r="YV189" s="15"/>
      <c r="YW189" s="15"/>
      <c r="YX189" s="15"/>
      <c r="YY189" s="15"/>
      <c r="YZ189" s="15"/>
      <c r="ZA189" s="15"/>
      <c r="ZB189" s="15"/>
      <c r="ZC189" s="15"/>
      <c r="ZD189" s="15"/>
      <c r="ZE189" s="15"/>
      <c r="ZF189" s="15"/>
      <c r="ZG189" s="15"/>
      <c r="ZH189" s="15"/>
      <c r="ZI189" s="15"/>
      <c r="ZJ189" s="15"/>
      <c r="ZK189" s="15"/>
      <c r="ZL189" s="15"/>
      <c r="ZM189" s="15"/>
      <c r="ZN189" s="15"/>
      <c r="ZO189" s="15"/>
      <c r="ZP189" s="15"/>
      <c r="ZQ189" s="15"/>
      <c r="ZR189" s="15"/>
      <c r="ZS189" s="15"/>
      <c r="ZT189" s="15"/>
      <c r="ZU189" s="15"/>
      <c r="ZV189" s="15"/>
      <c r="ZW189" s="15"/>
      <c r="ZX189" s="15"/>
      <c r="ZY189" s="15"/>
      <c r="ZZ189" s="15"/>
      <c r="AAA189" s="15"/>
      <c r="AAB189" s="15"/>
      <c r="AAC189" s="15"/>
      <c r="AAD189" s="15"/>
      <c r="AAE189" s="15"/>
      <c r="AAF189" s="15"/>
      <c r="AAG189" s="15"/>
      <c r="AAH189" s="15"/>
      <c r="AAI189" s="15"/>
      <c r="AAJ189" s="15"/>
      <c r="AAK189" s="15"/>
      <c r="AAL189" s="15"/>
      <c r="AAM189" s="15"/>
      <c r="AAN189" s="15"/>
      <c r="AAO189" s="15"/>
      <c r="AAP189" s="15"/>
      <c r="AAQ189" s="15"/>
      <c r="AAR189" s="15"/>
      <c r="AAS189" s="15"/>
      <c r="AAT189" s="15"/>
      <c r="AAU189" s="15"/>
      <c r="AAV189" s="15"/>
      <c r="AAW189" s="15"/>
      <c r="AAX189" s="15"/>
      <c r="AAY189" s="15"/>
      <c r="AAZ189" s="15"/>
      <c r="ABA189" s="15"/>
      <c r="ABB189" s="15"/>
      <c r="ABC189" s="15"/>
      <c r="ABD189" s="15"/>
      <c r="ABE189" s="15"/>
      <c r="ABF189" s="15"/>
      <c r="ABG189" s="15"/>
      <c r="ABH189" s="15"/>
      <c r="ABI189" s="15"/>
      <c r="ABJ189" s="15"/>
      <c r="ABK189" s="15"/>
      <c r="ABL189" s="15"/>
      <c r="ABM189" s="15"/>
      <c r="ABN189" s="15"/>
      <c r="ABO189" s="15"/>
      <c r="ABP189" s="15"/>
      <c r="ABQ189" s="15"/>
      <c r="ABR189" s="15"/>
      <c r="ABS189" s="15"/>
      <c r="ABT189" s="15"/>
      <c r="ABU189" s="15"/>
      <c r="ABV189" s="15"/>
      <c r="ABW189" s="15"/>
      <c r="ABX189" s="15"/>
      <c r="ABY189" s="15"/>
      <c r="ABZ189" s="15"/>
      <c r="ACA189" s="15"/>
      <c r="ACB189" s="15"/>
      <c r="ACC189" s="15"/>
      <c r="ACD189" s="15"/>
      <c r="ACE189" s="15"/>
      <c r="ACF189" s="15"/>
      <c r="ACG189" s="15"/>
      <c r="ACH189" s="15"/>
      <c r="ACI189" s="15"/>
      <c r="ACJ189" s="15"/>
      <c r="ACK189" s="15"/>
      <c r="ACL189" s="15"/>
      <c r="ACM189" s="15"/>
      <c r="ACN189" s="15"/>
      <c r="ACO189" s="15"/>
      <c r="ACP189" s="15"/>
      <c r="ACQ189" s="15"/>
      <c r="ACR189" s="15"/>
      <c r="ACS189" s="15"/>
      <c r="ACT189" s="15"/>
      <c r="ACU189" s="15"/>
      <c r="ACV189" s="15"/>
      <c r="ACW189" s="15"/>
      <c r="ACX189" s="15"/>
      <c r="ACY189" s="15"/>
      <c r="ACZ189" s="15"/>
      <c r="ADA189" s="15"/>
      <c r="ADB189" s="15"/>
      <c r="ADC189" s="15"/>
      <c r="ADD189" s="15"/>
      <c r="ADE189" s="15"/>
      <c r="ADF189" s="15"/>
      <c r="ADG189" s="15"/>
      <c r="ADH189" s="15"/>
      <c r="ADI189" s="15"/>
      <c r="ADJ189" s="15"/>
      <c r="ADK189" s="15"/>
      <c r="ADL189" s="15"/>
      <c r="ADM189" s="15"/>
      <c r="ADN189" s="15"/>
      <c r="ADO189" s="15"/>
      <c r="ADP189" s="15"/>
      <c r="ADQ189" s="15"/>
      <c r="ADR189" s="15"/>
      <c r="ADS189" s="15"/>
      <c r="ADT189" s="15"/>
      <c r="ADU189" s="15"/>
      <c r="ADV189" s="15"/>
      <c r="ADW189" s="15"/>
      <c r="ADX189" s="15"/>
      <c r="ADY189" s="15"/>
      <c r="ADZ189" s="15"/>
      <c r="AEA189" s="15"/>
      <c r="AEB189" s="15"/>
      <c r="AEC189" s="15"/>
      <c r="AED189" s="15"/>
      <c r="AEE189" s="15"/>
      <c r="AEF189" s="15"/>
      <c r="AEG189" s="15"/>
      <c r="AEH189" s="15"/>
      <c r="AEI189" s="15"/>
      <c r="AEJ189" s="15"/>
      <c r="AEK189" s="15"/>
      <c r="AEL189" s="15"/>
      <c r="AEM189" s="15"/>
      <c r="AEN189" s="15"/>
      <c r="AEO189" s="15"/>
      <c r="AEP189" s="15"/>
      <c r="AEQ189" s="15"/>
      <c r="AER189" s="15"/>
      <c r="AES189" s="15"/>
      <c r="AET189" s="15"/>
      <c r="AEU189" s="15"/>
      <c r="AEV189" s="15"/>
      <c r="AEW189" s="15"/>
      <c r="AEX189" s="15"/>
      <c r="AEY189" s="15"/>
      <c r="AEZ189" s="15"/>
      <c r="AFA189" s="15"/>
      <c r="AFB189" s="15"/>
      <c r="AFC189" s="15"/>
      <c r="AFD189" s="15"/>
      <c r="AFE189" s="15"/>
      <c r="AFF189" s="15"/>
      <c r="AFG189" s="15"/>
      <c r="AFH189" s="15"/>
    </row>
    <row r="190" spans="1:840" s="16" customFormat="1" ht="27" customHeight="1">
      <c r="A190" s="92">
        <f t="shared" si="4"/>
        <v>55</v>
      </c>
      <c r="B190" s="91"/>
      <c r="C190" s="93" t="str">
        <f>C59</f>
        <v>GALIC POWDER</v>
      </c>
      <c r="D190" s="94"/>
      <c r="E190" s="94"/>
      <c r="F190" s="94"/>
      <c r="G190" s="94"/>
      <c r="H190" s="94"/>
      <c r="I190" s="94"/>
      <c r="J190" s="94"/>
      <c r="K190" s="94"/>
      <c r="L190" s="95"/>
      <c r="M190" s="37"/>
      <c r="N190" s="37" t="s">
        <v>75</v>
      </c>
      <c r="O190" s="37"/>
      <c r="P190" s="93" t="s">
        <v>159</v>
      </c>
      <c r="Q190" s="94"/>
      <c r="R190" s="94"/>
      <c r="S190" s="117"/>
      <c r="T190" s="43" t="s">
        <v>82</v>
      </c>
      <c r="U190" s="44"/>
      <c r="V190" s="45"/>
      <c r="W190" s="99" t="s">
        <v>160</v>
      </c>
      <c r="X190" s="97"/>
      <c r="Y190" s="97"/>
      <c r="Z190" s="100"/>
      <c r="AA190" s="105"/>
      <c r="AB190" s="106"/>
      <c r="AC190" s="106"/>
      <c r="AD190" s="106"/>
      <c r="AE190" s="107"/>
      <c r="AF190" s="105"/>
      <c r="AG190" s="106"/>
      <c r="AH190" s="106"/>
      <c r="AI190" s="106"/>
      <c r="AJ190" s="106"/>
      <c r="AK190" s="106"/>
      <c r="AL190" s="106"/>
      <c r="AM190" s="118"/>
      <c r="AN190" s="119"/>
      <c r="AO190" s="119"/>
      <c r="AP190" s="120"/>
      <c r="AQ190" s="92" t="s">
        <v>118</v>
      </c>
      <c r="AR190" s="90"/>
      <c r="AS190" s="90"/>
      <c r="AT190" s="90"/>
      <c r="AU190" s="90"/>
      <c r="AV190" s="90"/>
      <c r="AW190" s="34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  <c r="IT190" s="15"/>
      <c r="IU190" s="15"/>
      <c r="IV190" s="15"/>
      <c r="IW190" s="15"/>
      <c r="IX190" s="15"/>
      <c r="IY190" s="15"/>
      <c r="IZ190" s="15"/>
      <c r="JA190" s="15"/>
      <c r="JB190" s="15"/>
      <c r="JC190" s="15"/>
      <c r="JD190" s="15"/>
      <c r="JE190" s="15"/>
      <c r="JF190" s="15"/>
      <c r="JG190" s="15"/>
      <c r="JH190" s="15"/>
      <c r="JI190" s="15"/>
      <c r="JJ190" s="15"/>
      <c r="JK190" s="15"/>
      <c r="JL190" s="15"/>
      <c r="JM190" s="15"/>
      <c r="JN190" s="15"/>
      <c r="JO190" s="15"/>
      <c r="JP190" s="15"/>
      <c r="JQ190" s="15"/>
      <c r="JR190" s="15"/>
      <c r="JS190" s="15"/>
      <c r="JT190" s="15"/>
      <c r="JU190" s="15"/>
      <c r="JV190" s="15"/>
      <c r="JW190" s="15"/>
      <c r="JX190" s="15"/>
      <c r="JY190" s="15"/>
      <c r="JZ190" s="15"/>
      <c r="KA190" s="15"/>
      <c r="KB190" s="15"/>
      <c r="KC190" s="15"/>
      <c r="KD190" s="15"/>
      <c r="KE190" s="15"/>
      <c r="KF190" s="15"/>
      <c r="KG190" s="15"/>
      <c r="KH190" s="15"/>
      <c r="KI190" s="15"/>
      <c r="KJ190" s="15"/>
      <c r="KK190" s="15"/>
      <c r="KL190" s="15"/>
      <c r="KM190" s="15"/>
      <c r="KN190" s="15"/>
      <c r="KO190" s="15"/>
      <c r="KP190" s="15"/>
      <c r="KQ190" s="15"/>
      <c r="KR190" s="15"/>
      <c r="KS190" s="15"/>
      <c r="KT190" s="15"/>
      <c r="KU190" s="15"/>
      <c r="KV190" s="15"/>
      <c r="KW190" s="15"/>
      <c r="KX190" s="15"/>
      <c r="KY190" s="15"/>
      <c r="KZ190" s="15"/>
      <c r="LA190" s="15"/>
      <c r="LB190" s="15"/>
      <c r="LC190" s="15"/>
      <c r="LD190" s="15"/>
      <c r="LE190" s="15"/>
      <c r="LF190" s="15"/>
      <c r="LG190" s="15"/>
      <c r="LH190" s="15"/>
      <c r="LI190" s="15"/>
      <c r="LJ190" s="15"/>
      <c r="LK190" s="15"/>
      <c r="LL190" s="15"/>
      <c r="LM190" s="15"/>
      <c r="LN190" s="15"/>
      <c r="LO190" s="15"/>
      <c r="LP190" s="15"/>
      <c r="LQ190" s="15"/>
      <c r="LR190" s="15"/>
      <c r="LS190" s="15"/>
      <c r="LT190" s="15"/>
      <c r="LU190" s="15"/>
      <c r="LV190" s="15"/>
      <c r="LW190" s="15"/>
      <c r="LX190" s="15"/>
      <c r="LY190" s="15"/>
      <c r="LZ190" s="15"/>
      <c r="MA190" s="15"/>
      <c r="MB190" s="15"/>
      <c r="MC190" s="15"/>
      <c r="MD190" s="15"/>
      <c r="ME190" s="15"/>
      <c r="MF190" s="15"/>
      <c r="MG190" s="15"/>
      <c r="MH190" s="15"/>
      <c r="MI190" s="15"/>
      <c r="MJ190" s="15"/>
      <c r="MK190" s="15"/>
      <c r="ML190" s="15"/>
      <c r="MM190" s="15"/>
      <c r="MN190" s="15"/>
      <c r="MO190" s="15"/>
      <c r="MP190" s="15"/>
      <c r="MQ190" s="15"/>
      <c r="MR190" s="15"/>
      <c r="MS190" s="15"/>
      <c r="MT190" s="15"/>
      <c r="MU190" s="15"/>
      <c r="MV190" s="15"/>
      <c r="MW190" s="15"/>
      <c r="MX190" s="15"/>
      <c r="MY190" s="15"/>
      <c r="MZ190" s="15"/>
      <c r="NA190" s="15"/>
      <c r="NB190" s="15"/>
      <c r="NC190" s="15"/>
      <c r="ND190" s="15"/>
      <c r="NE190" s="15"/>
      <c r="NF190" s="15"/>
      <c r="NG190" s="15"/>
      <c r="NH190" s="15"/>
      <c r="NI190" s="15"/>
      <c r="NJ190" s="15"/>
      <c r="NK190" s="15"/>
      <c r="NL190" s="15"/>
      <c r="NM190" s="15"/>
      <c r="NN190" s="15"/>
      <c r="NO190" s="15"/>
      <c r="NP190" s="15"/>
      <c r="NQ190" s="15"/>
      <c r="NR190" s="15"/>
      <c r="NS190" s="15"/>
      <c r="NT190" s="15"/>
      <c r="NU190" s="15"/>
      <c r="NV190" s="15"/>
      <c r="NW190" s="15"/>
      <c r="NX190" s="15"/>
      <c r="NY190" s="15"/>
      <c r="NZ190" s="15"/>
      <c r="OA190" s="15"/>
      <c r="OB190" s="15"/>
      <c r="OC190" s="15"/>
      <c r="OD190" s="15"/>
      <c r="OE190" s="15"/>
      <c r="OF190" s="15"/>
      <c r="OG190" s="15"/>
      <c r="OH190" s="15"/>
      <c r="OI190" s="15"/>
      <c r="OJ190" s="15"/>
      <c r="OK190" s="15"/>
      <c r="OL190" s="15"/>
      <c r="OM190" s="15"/>
      <c r="ON190" s="15"/>
      <c r="OO190" s="15"/>
      <c r="OP190" s="15"/>
      <c r="OQ190" s="15"/>
      <c r="OR190" s="15"/>
      <c r="OS190" s="15"/>
      <c r="OT190" s="15"/>
      <c r="OU190" s="15"/>
      <c r="OV190" s="15"/>
      <c r="OW190" s="15"/>
      <c r="OX190" s="15"/>
      <c r="OY190" s="15"/>
      <c r="OZ190" s="15"/>
      <c r="PA190" s="15"/>
      <c r="PB190" s="15"/>
      <c r="PC190" s="15"/>
      <c r="PD190" s="15"/>
      <c r="PE190" s="15"/>
      <c r="PF190" s="15"/>
      <c r="PG190" s="15"/>
      <c r="PH190" s="15"/>
      <c r="PI190" s="15"/>
      <c r="PJ190" s="15"/>
      <c r="PK190" s="15"/>
      <c r="PL190" s="15"/>
      <c r="PM190" s="15"/>
      <c r="PN190" s="15"/>
      <c r="PO190" s="15"/>
      <c r="PP190" s="15"/>
      <c r="PQ190" s="15"/>
      <c r="PR190" s="15"/>
      <c r="PS190" s="15"/>
      <c r="PT190" s="15"/>
      <c r="PU190" s="15"/>
      <c r="PV190" s="15"/>
      <c r="PW190" s="15"/>
      <c r="PX190" s="15"/>
      <c r="PY190" s="15"/>
      <c r="PZ190" s="15"/>
      <c r="QA190" s="15"/>
      <c r="QB190" s="15"/>
      <c r="QC190" s="15"/>
      <c r="QD190" s="15"/>
      <c r="QE190" s="15"/>
      <c r="QF190" s="15"/>
      <c r="QG190" s="15"/>
      <c r="QH190" s="15"/>
      <c r="QI190" s="15"/>
      <c r="QJ190" s="15"/>
      <c r="QK190" s="15"/>
      <c r="QL190" s="15"/>
      <c r="QM190" s="15"/>
      <c r="QN190" s="15"/>
      <c r="QO190" s="15"/>
      <c r="QP190" s="15"/>
      <c r="QQ190" s="15"/>
      <c r="QR190" s="15"/>
      <c r="QS190" s="15"/>
      <c r="QT190" s="15"/>
      <c r="QU190" s="15"/>
      <c r="QV190" s="15"/>
      <c r="QW190" s="15"/>
      <c r="QX190" s="15"/>
      <c r="QY190" s="15"/>
      <c r="QZ190" s="15"/>
      <c r="RA190" s="15"/>
      <c r="RB190" s="15"/>
      <c r="RC190" s="15"/>
      <c r="RD190" s="15"/>
      <c r="RE190" s="15"/>
      <c r="RF190" s="15"/>
      <c r="RG190" s="15"/>
      <c r="RH190" s="15"/>
      <c r="RI190" s="15"/>
      <c r="RJ190" s="15"/>
      <c r="RK190" s="15"/>
      <c r="RL190" s="15"/>
      <c r="RM190" s="15"/>
      <c r="RN190" s="15"/>
      <c r="RO190" s="15"/>
      <c r="RP190" s="15"/>
      <c r="RQ190" s="15"/>
      <c r="RR190" s="15"/>
      <c r="RS190" s="15"/>
      <c r="RT190" s="15"/>
      <c r="RU190" s="15"/>
      <c r="RV190" s="15"/>
      <c r="RW190" s="15"/>
      <c r="RX190" s="15"/>
      <c r="RY190" s="15"/>
      <c r="RZ190" s="15"/>
      <c r="SA190" s="15"/>
      <c r="SB190" s="15"/>
      <c r="SC190" s="15"/>
      <c r="SD190" s="15"/>
      <c r="SE190" s="15"/>
      <c r="SF190" s="15"/>
      <c r="SG190" s="15"/>
      <c r="SH190" s="15"/>
      <c r="SI190" s="15"/>
      <c r="SJ190" s="15"/>
      <c r="SK190" s="15"/>
      <c r="SL190" s="15"/>
      <c r="SM190" s="15"/>
      <c r="SN190" s="15"/>
      <c r="SO190" s="15"/>
      <c r="SP190" s="15"/>
      <c r="SQ190" s="15"/>
      <c r="SR190" s="15"/>
      <c r="SS190" s="15"/>
      <c r="ST190" s="15"/>
      <c r="SU190" s="15"/>
      <c r="SV190" s="15"/>
      <c r="SW190" s="15"/>
      <c r="SX190" s="15"/>
      <c r="SY190" s="15"/>
      <c r="SZ190" s="15"/>
      <c r="TA190" s="15"/>
      <c r="TB190" s="15"/>
      <c r="TC190" s="15"/>
      <c r="TD190" s="15"/>
      <c r="TE190" s="15"/>
      <c r="TF190" s="15"/>
      <c r="TG190" s="15"/>
      <c r="TH190" s="15"/>
      <c r="TI190" s="15"/>
      <c r="TJ190" s="15"/>
      <c r="TK190" s="15"/>
      <c r="TL190" s="15"/>
      <c r="TM190" s="15"/>
      <c r="TN190" s="15"/>
      <c r="TO190" s="15"/>
      <c r="TP190" s="15"/>
      <c r="TQ190" s="15"/>
      <c r="TR190" s="15"/>
      <c r="TS190" s="15"/>
      <c r="TT190" s="15"/>
      <c r="TU190" s="15"/>
      <c r="TV190" s="15"/>
      <c r="TW190" s="15"/>
      <c r="TX190" s="15"/>
      <c r="TY190" s="15"/>
      <c r="TZ190" s="15"/>
      <c r="UA190" s="15"/>
      <c r="UB190" s="15"/>
      <c r="UC190" s="15"/>
      <c r="UD190" s="15"/>
      <c r="UE190" s="15"/>
      <c r="UF190" s="15"/>
      <c r="UG190" s="15"/>
      <c r="UH190" s="15"/>
      <c r="UI190" s="15"/>
      <c r="UJ190" s="15"/>
      <c r="UK190" s="15"/>
      <c r="UL190" s="15"/>
      <c r="UM190" s="15"/>
      <c r="UN190" s="15"/>
      <c r="UO190" s="15"/>
      <c r="UP190" s="15"/>
      <c r="UQ190" s="15"/>
      <c r="UR190" s="15"/>
      <c r="US190" s="15"/>
      <c r="UT190" s="15"/>
      <c r="UU190" s="15"/>
      <c r="UV190" s="15"/>
      <c r="UW190" s="15"/>
      <c r="UX190" s="15"/>
      <c r="UY190" s="15"/>
      <c r="UZ190" s="15"/>
      <c r="VA190" s="15"/>
      <c r="VB190" s="15"/>
      <c r="VC190" s="15"/>
      <c r="VD190" s="15"/>
      <c r="VE190" s="15"/>
      <c r="VF190" s="15"/>
      <c r="VG190" s="15"/>
      <c r="VH190" s="15"/>
      <c r="VI190" s="15"/>
      <c r="VJ190" s="15"/>
      <c r="VK190" s="15"/>
      <c r="VL190" s="15"/>
      <c r="VM190" s="15"/>
      <c r="VN190" s="15"/>
      <c r="VO190" s="15"/>
      <c r="VP190" s="15"/>
      <c r="VQ190" s="15"/>
      <c r="VR190" s="15"/>
      <c r="VS190" s="15"/>
      <c r="VT190" s="15"/>
      <c r="VU190" s="15"/>
      <c r="VV190" s="15"/>
      <c r="VW190" s="15"/>
      <c r="VX190" s="15"/>
      <c r="VY190" s="15"/>
      <c r="VZ190" s="15"/>
      <c r="WA190" s="15"/>
      <c r="WB190" s="15"/>
      <c r="WC190" s="15"/>
      <c r="WD190" s="15"/>
      <c r="WE190" s="15"/>
      <c r="WF190" s="15"/>
      <c r="WG190" s="15"/>
      <c r="WH190" s="15"/>
      <c r="WI190" s="15"/>
      <c r="WJ190" s="15"/>
      <c r="WK190" s="15"/>
      <c r="WL190" s="15"/>
      <c r="WM190" s="15"/>
      <c r="WN190" s="15"/>
      <c r="WO190" s="15"/>
      <c r="WP190" s="15"/>
      <c r="WQ190" s="15"/>
      <c r="WR190" s="15"/>
      <c r="WS190" s="15"/>
      <c r="WT190" s="15"/>
      <c r="WU190" s="15"/>
      <c r="WV190" s="15"/>
      <c r="WW190" s="15"/>
      <c r="WX190" s="15"/>
      <c r="WY190" s="15"/>
      <c r="WZ190" s="15"/>
      <c r="XA190" s="15"/>
      <c r="XB190" s="15"/>
      <c r="XC190" s="15"/>
      <c r="XD190" s="15"/>
      <c r="XE190" s="15"/>
      <c r="XF190" s="15"/>
      <c r="XG190" s="15"/>
      <c r="XH190" s="15"/>
      <c r="XI190" s="15"/>
      <c r="XJ190" s="15"/>
      <c r="XK190" s="15"/>
      <c r="XL190" s="15"/>
      <c r="XM190" s="15"/>
      <c r="XN190" s="15"/>
      <c r="XO190" s="15"/>
      <c r="XP190" s="15"/>
      <c r="XQ190" s="15"/>
      <c r="XR190" s="15"/>
      <c r="XS190" s="15"/>
      <c r="XT190" s="15"/>
      <c r="XU190" s="15"/>
      <c r="XV190" s="15"/>
      <c r="XW190" s="15"/>
      <c r="XX190" s="15"/>
      <c r="XY190" s="15"/>
      <c r="XZ190" s="15"/>
      <c r="YA190" s="15"/>
      <c r="YB190" s="15"/>
      <c r="YC190" s="15"/>
      <c r="YD190" s="15"/>
      <c r="YE190" s="15"/>
      <c r="YF190" s="15"/>
      <c r="YG190" s="15"/>
      <c r="YH190" s="15"/>
      <c r="YI190" s="15"/>
      <c r="YJ190" s="15"/>
      <c r="YK190" s="15"/>
      <c r="YL190" s="15"/>
      <c r="YM190" s="15"/>
      <c r="YN190" s="15"/>
      <c r="YO190" s="15"/>
      <c r="YP190" s="15"/>
      <c r="YQ190" s="15"/>
      <c r="YR190" s="15"/>
      <c r="YS190" s="15"/>
      <c r="YT190" s="15"/>
      <c r="YU190" s="15"/>
      <c r="YV190" s="15"/>
      <c r="YW190" s="15"/>
      <c r="YX190" s="15"/>
      <c r="YY190" s="15"/>
      <c r="YZ190" s="15"/>
      <c r="ZA190" s="15"/>
      <c r="ZB190" s="15"/>
      <c r="ZC190" s="15"/>
      <c r="ZD190" s="15"/>
      <c r="ZE190" s="15"/>
      <c r="ZF190" s="15"/>
      <c r="ZG190" s="15"/>
      <c r="ZH190" s="15"/>
      <c r="ZI190" s="15"/>
      <c r="ZJ190" s="15"/>
      <c r="ZK190" s="15"/>
      <c r="ZL190" s="15"/>
      <c r="ZM190" s="15"/>
      <c r="ZN190" s="15"/>
      <c r="ZO190" s="15"/>
      <c r="ZP190" s="15"/>
      <c r="ZQ190" s="15"/>
      <c r="ZR190" s="15"/>
      <c r="ZS190" s="15"/>
      <c r="ZT190" s="15"/>
      <c r="ZU190" s="15"/>
      <c r="ZV190" s="15"/>
      <c r="ZW190" s="15"/>
      <c r="ZX190" s="15"/>
      <c r="ZY190" s="15"/>
      <c r="ZZ190" s="15"/>
      <c r="AAA190" s="15"/>
      <c r="AAB190" s="15"/>
      <c r="AAC190" s="15"/>
      <c r="AAD190" s="15"/>
      <c r="AAE190" s="15"/>
      <c r="AAF190" s="15"/>
      <c r="AAG190" s="15"/>
      <c r="AAH190" s="15"/>
      <c r="AAI190" s="15"/>
      <c r="AAJ190" s="15"/>
      <c r="AAK190" s="15"/>
      <c r="AAL190" s="15"/>
      <c r="AAM190" s="15"/>
      <c r="AAN190" s="15"/>
      <c r="AAO190" s="15"/>
      <c r="AAP190" s="15"/>
      <c r="AAQ190" s="15"/>
      <c r="AAR190" s="15"/>
      <c r="AAS190" s="15"/>
      <c r="AAT190" s="15"/>
      <c r="AAU190" s="15"/>
      <c r="AAV190" s="15"/>
      <c r="AAW190" s="15"/>
      <c r="AAX190" s="15"/>
      <c r="AAY190" s="15"/>
      <c r="AAZ190" s="15"/>
      <c r="ABA190" s="15"/>
      <c r="ABB190" s="15"/>
      <c r="ABC190" s="15"/>
      <c r="ABD190" s="15"/>
      <c r="ABE190" s="15"/>
      <c r="ABF190" s="15"/>
      <c r="ABG190" s="15"/>
      <c r="ABH190" s="15"/>
      <c r="ABI190" s="15"/>
      <c r="ABJ190" s="15"/>
      <c r="ABK190" s="15"/>
      <c r="ABL190" s="15"/>
      <c r="ABM190" s="15"/>
      <c r="ABN190" s="15"/>
      <c r="ABO190" s="15"/>
      <c r="ABP190" s="15"/>
      <c r="ABQ190" s="15"/>
      <c r="ABR190" s="15"/>
      <c r="ABS190" s="15"/>
      <c r="ABT190" s="15"/>
      <c r="ABU190" s="15"/>
      <c r="ABV190" s="15"/>
      <c r="ABW190" s="15"/>
      <c r="ABX190" s="15"/>
      <c r="ABY190" s="15"/>
      <c r="ABZ190" s="15"/>
      <c r="ACA190" s="15"/>
      <c r="ACB190" s="15"/>
      <c r="ACC190" s="15"/>
      <c r="ACD190" s="15"/>
      <c r="ACE190" s="15"/>
      <c r="ACF190" s="15"/>
      <c r="ACG190" s="15"/>
      <c r="ACH190" s="15"/>
      <c r="ACI190" s="15"/>
      <c r="ACJ190" s="15"/>
      <c r="ACK190" s="15"/>
      <c r="ACL190" s="15"/>
      <c r="ACM190" s="15"/>
      <c r="ACN190" s="15"/>
      <c r="ACO190" s="15"/>
      <c r="ACP190" s="15"/>
      <c r="ACQ190" s="15"/>
      <c r="ACR190" s="15"/>
      <c r="ACS190" s="15"/>
      <c r="ACT190" s="15"/>
      <c r="ACU190" s="15"/>
      <c r="ACV190" s="15"/>
      <c r="ACW190" s="15"/>
      <c r="ACX190" s="15"/>
      <c r="ACY190" s="15"/>
      <c r="ACZ190" s="15"/>
      <c r="ADA190" s="15"/>
      <c r="ADB190" s="15"/>
      <c r="ADC190" s="15"/>
      <c r="ADD190" s="15"/>
      <c r="ADE190" s="15"/>
      <c r="ADF190" s="15"/>
      <c r="ADG190" s="15"/>
      <c r="ADH190" s="15"/>
      <c r="ADI190" s="15"/>
      <c r="ADJ190" s="15"/>
      <c r="ADK190" s="15"/>
      <c r="ADL190" s="15"/>
      <c r="ADM190" s="15"/>
      <c r="ADN190" s="15"/>
      <c r="ADO190" s="15"/>
      <c r="ADP190" s="15"/>
      <c r="ADQ190" s="15"/>
      <c r="ADR190" s="15"/>
      <c r="ADS190" s="15"/>
      <c r="ADT190" s="15"/>
      <c r="ADU190" s="15"/>
      <c r="ADV190" s="15"/>
      <c r="ADW190" s="15"/>
      <c r="ADX190" s="15"/>
      <c r="ADY190" s="15"/>
      <c r="ADZ190" s="15"/>
      <c r="AEA190" s="15"/>
      <c r="AEB190" s="15"/>
      <c r="AEC190" s="15"/>
      <c r="AED190" s="15"/>
      <c r="AEE190" s="15"/>
      <c r="AEF190" s="15"/>
      <c r="AEG190" s="15"/>
      <c r="AEH190" s="15"/>
      <c r="AEI190" s="15"/>
      <c r="AEJ190" s="15"/>
      <c r="AEK190" s="15"/>
      <c r="AEL190" s="15"/>
      <c r="AEM190" s="15"/>
      <c r="AEN190" s="15"/>
      <c r="AEO190" s="15"/>
      <c r="AEP190" s="15"/>
      <c r="AEQ190" s="15"/>
      <c r="AER190" s="15"/>
      <c r="AES190" s="15"/>
      <c r="AET190" s="15"/>
      <c r="AEU190" s="15"/>
      <c r="AEV190" s="15"/>
      <c r="AEW190" s="15"/>
      <c r="AEX190" s="15"/>
      <c r="AEY190" s="15"/>
      <c r="AEZ190" s="15"/>
      <c r="AFA190" s="15"/>
      <c r="AFB190" s="15"/>
      <c r="AFC190" s="15"/>
      <c r="AFD190" s="15"/>
      <c r="AFE190" s="15"/>
      <c r="AFF190" s="15"/>
      <c r="AFG190" s="15"/>
      <c r="AFH190" s="15"/>
    </row>
    <row r="191" spans="1:840" s="16" customFormat="1" ht="27" customHeight="1">
      <c r="A191" s="92">
        <f t="shared" si="4"/>
        <v>56</v>
      </c>
      <c r="B191" s="91"/>
      <c r="C191" s="93" t="str">
        <f>C60</f>
        <v>KACANG MERAH MENTAH</v>
      </c>
      <c r="D191" s="94"/>
      <c r="E191" s="94"/>
      <c r="F191" s="94"/>
      <c r="G191" s="94"/>
      <c r="H191" s="94"/>
      <c r="I191" s="94"/>
      <c r="J191" s="94"/>
      <c r="K191" s="94"/>
      <c r="L191" s="95"/>
      <c r="M191" s="37"/>
      <c r="N191" s="37" t="s">
        <v>75</v>
      </c>
      <c r="O191" s="37"/>
      <c r="P191" s="96" t="s">
        <v>161</v>
      </c>
      <c r="Q191" s="97"/>
      <c r="R191" s="97"/>
      <c r="S191" s="98"/>
      <c r="T191" s="43" t="s">
        <v>82</v>
      </c>
      <c r="U191" s="44"/>
      <c r="V191" s="45"/>
      <c r="W191" s="99" t="s">
        <v>161</v>
      </c>
      <c r="X191" s="97"/>
      <c r="Y191" s="97"/>
      <c r="Z191" s="100"/>
      <c r="AA191" s="105"/>
      <c r="AB191" s="106"/>
      <c r="AC191" s="106"/>
      <c r="AD191" s="106"/>
      <c r="AE191" s="107"/>
      <c r="AF191" s="105"/>
      <c r="AG191" s="106"/>
      <c r="AH191" s="106"/>
      <c r="AI191" s="106"/>
      <c r="AJ191" s="106"/>
      <c r="AK191" s="106"/>
      <c r="AL191" s="106"/>
      <c r="AM191" s="118"/>
      <c r="AN191" s="119"/>
      <c r="AO191" s="119"/>
      <c r="AP191" s="120"/>
      <c r="AQ191" s="92" t="s">
        <v>118</v>
      </c>
      <c r="AR191" s="90"/>
      <c r="AS191" s="90"/>
      <c r="AT191" s="90"/>
      <c r="AU191" s="90"/>
      <c r="AV191" s="90"/>
      <c r="AW191" s="34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  <c r="IT191" s="15"/>
      <c r="IU191" s="15"/>
      <c r="IV191" s="15"/>
      <c r="IW191" s="15"/>
      <c r="IX191" s="15"/>
      <c r="IY191" s="15"/>
      <c r="IZ191" s="15"/>
      <c r="JA191" s="15"/>
      <c r="JB191" s="15"/>
      <c r="JC191" s="15"/>
      <c r="JD191" s="15"/>
      <c r="JE191" s="15"/>
      <c r="JF191" s="15"/>
      <c r="JG191" s="15"/>
      <c r="JH191" s="15"/>
      <c r="JI191" s="15"/>
      <c r="JJ191" s="15"/>
      <c r="JK191" s="15"/>
      <c r="JL191" s="15"/>
      <c r="JM191" s="15"/>
      <c r="JN191" s="15"/>
      <c r="JO191" s="15"/>
      <c r="JP191" s="15"/>
      <c r="JQ191" s="15"/>
      <c r="JR191" s="15"/>
      <c r="JS191" s="15"/>
      <c r="JT191" s="15"/>
      <c r="JU191" s="15"/>
      <c r="JV191" s="15"/>
      <c r="JW191" s="15"/>
      <c r="JX191" s="15"/>
      <c r="JY191" s="15"/>
      <c r="JZ191" s="15"/>
      <c r="KA191" s="15"/>
      <c r="KB191" s="15"/>
      <c r="KC191" s="15"/>
      <c r="KD191" s="15"/>
      <c r="KE191" s="15"/>
      <c r="KF191" s="15"/>
      <c r="KG191" s="15"/>
      <c r="KH191" s="15"/>
      <c r="KI191" s="15"/>
      <c r="KJ191" s="15"/>
      <c r="KK191" s="15"/>
      <c r="KL191" s="15"/>
      <c r="KM191" s="15"/>
      <c r="KN191" s="15"/>
      <c r="KO191" s="15"/>
      <c r="KP191" s="15"/>
      <c r="KQ191" s="15"/>
      <c r="KR191" s="15"/>
      <c r="KS191" s="15"/>
      <c r="KT191" s="15"/>
      <c r="KU191" s="15"/>
      <c r="KV191" s="15"/>
      <c r="KW191" s="15"/>
      <c r="KX191" s="15"/>
      <c r="KY191" s="15"/>
      <c r="KZ191" s="15"/>
      <c r="LA191" s="15"/>
      <c r="LB191" s="15"/>
      <c r="LC191" s="15"/>
      <c r="LD191" s="15"/>
      <c r="LE191" s="15"/>
      <c r="LF191" s="15"/>
      <c r="LG191" s="15"/>
      <c r="LH191" s="15"/>
      <c r="LI191" s="15"/>
      <c r="LJ191" s="15"/>
      <c r="LK191" s="15"/>
      <c r="LL191" s="15"/>
      <c r="LM191" s="15"/>
      <c r="LN191" s="15"/>
      <c r="LO191" s="15"/>
      <c r="LP191" s="15"/>
      <c r="LQ191" s="15"/>
      <c r="LR191" s="15"/>
      <c r="LS191" s="15"/>
      <c r="LT191" s="15"/>
      <c r="LU191" s="15"/>
      <c r="LV191" s="15"/>
      <c r="LW191" s="15"/>
      <c r="LX191" s="15"/>
      <c r="LY191" s="15"/>
      <c r="LZ191" s="15"/>
      <c r="MA191" s="15"/>
      <c r="MB191" s="15"/>
      <c r="MC191" s="15"/>
      <c r="MD191" s="15"/>
      <c r="ME191" s="15"/>
      <c r="MF191" s="15"/>
      <c r="MG191" s="15"/>
      <c r="MH191" s="15"/>
      <c r="MI191" s="15"/>
      <c r="MJ191" s="15"/>
      <c r="MK191" s="15"/>
      <c r="ML191" s="15"/>
      <c r="MM191" s="15"/>
      <c r="MN191" s="15"/>
      <c r="MO191" s="15"/>
      <c r="MP191" s="15"/>
      <c r="MQ191" s="15"/>
      <c r="MR191" s="15"/>
      <c r="MS191" s="15"/>
      <c r="MT191" s="15"/>
      <c r="MU191" s="15"/>
      <c r="MV191" s="15"/>
      <c r="MW191" s="15"/>
      <c r="MX191" s="15"/>
      <c r="MY191" s="15"/>
      <c r="MZ191" s="15"/>
      <c r="NA191" s="15"/>
      <c r="NB191" s="15"/>
      <c r="NC191" s="15"/>
      <c r="ND191" s="15"/>
      <c r="NE191" s="15"/>
      <c r="NF191" s="15"/>
      <c r="NG191" s="15"/>
      <c r="NH191" s="15"/>
      <c r="NI191" s="15"/>
      <c r="NJ191" s="15"/>
      <c r="NK191" s="15"/>
      <c r="NL191" s="15"/>
      <c r="NM191" s="15"/>
      <c r="NN191" s="15"/>
      <c r="NO191" s="15"/>
      <c r="NP191" s="15"/>
      <c r="NQ191" s="15"/>
      <c r="NR191" s="15"/>
      <c r="NS191" s="15"/>
      <c r="NT191" s="15"/>
      <c r="NU191" s="15"/>
      <c r="NV191" s="15"/>
      <c r="NW191" s="15"/>
      <c r="NX191" s="15"/>
      <c r="NY191" s="15"/>
      <c r="NZ191" s="15"/>
      <c r="OA191" s="15"/>
      <c r="OB191" s="15"/>
      <c r="OC191" s="15"/>
      <c r="OD191" s="15"/>
      <c r="OE191" s="15"/>
      <c r="OF191" s="15"/>
      <c r="OG191" s="15"/>
      <c r="OH191" s="15"/>
      <c r="OI191" s="15"/>
      <c r="OJ191" s="15"/>
      <c r="OK191" s="15"/>
      <c r="OL191" s="15"/>
      <c r="OM191" s="15"/>
      <c r="ON191" s="15"/>
      <c r="OO191" s="15"/>
      <c r="OP191" s="15"/>
      <c r="OQ191" s="15"/>
      <c r="OR191" s="15"/>
      <c r="OS191" s="15"/>
      <c r="OT191" s="15"/>
      <c r="OU191" s="15"/>
      <c r="OV191" s="15"/>
      <c r="OW191" s="15"/>
      <c r="OX191" s="15"/>
      <c r="OY191" s="15"/>
      <c r="OZ191" s="15"/>
      <c r="PA191" s="15"/>
      <c r="PB191" s="15"/>
      <c r="PC191" s="15"/>
      <c r="PD191" s="15"/>
      <c r="PE191" s="15"/>
      <c r="PF191" s="15"/>
      <c r="PG191" s="15"/>
      <c r="PH191" s="15"/>
      <c r="PI191" s="15"/>
      <c r="PJ191" s="15"/>
      <c r="PK191" s="15"/>
      <c r="PL191" s="15"/>
      <c r="PM191" s="15"/>
      <c r="PN191" s="15"/>
      <c r="PO191" s="15"/>
      <c r="PP191" s="15"/>
      <c r="PQ191" s="15"/>
      <c r="PR191" s="15"/>
      <c r="PS191" s="15"/>
      <c r="PT191" s="15"/>
      <c r="PU191" s="15"/>
      <c r="PV191" s="15"/>
      <c r="PW191" s="15"/>
      <c r="PX191" s="15"/>
      <c r="PY191" s="15"/>
      <c r="PZ191" s="15"/>
      <c r="QA191" s="15"/>
      <c r="QB191" s="15"/>
      <c r="QC191" s="15"/>
      <c r="QD191" s="15"/>
      <c r="QE191" s="15"/>
      <c r="QF191" s="15"/>
      <c r="QG191" s="15"/>
      <c r="QH191" s="15"/>
      <c r="QI191" s="15"/>
      <c r="QJ191" s="15"/>
      <c r="QK191" s="15"/>
      <c r="QL191" s="15"/>
      <c r="QM191" s="15"/>
      <c r="QN191" s="15"/>
      <c r="QO191" s="15"/>
      <c r="QP191" s="15"/>
      <c r="QQ191" s="15"/>
      <c r="QR191" s="15"/>
      <c r="QS191" s="15"/>
      <c r="QT191" s="15"/>
      <c r="QU191" s="15"/>
      <c r="QV191" s="15"/>
      <c r="QW191" s="15"/>
      <c r="QX191" s="15"/>
      <c r="QY191" s="15"/>
      <c r="QZ191" s="15"/>
      <c r="RA191" s="15"/>
      <c r="RB191" s="15"/>
      <c r="RC191" s="15"/>
      <c r="RD191" s="15"/>
      <c r="RE191" s="15"/>
      <c r="RF191" s="15"/>
      <c r="RG191" s="15"/>
      <c r="RH191" s="15"/>
      <c r="RI191" s="15"/>
      <c r="RJ191" s="15"/>
      <c r="RK191" s="15"/>
      <c r="RL191" s="15"/>
      <c r="RM191" s="15"/>
      <c r="RN191" s="15"/>
      <c r="RO191" s="15"/>
      <c r="RP191" s="15"/>
      <c r="RQ191" s="15"/>
      <c r="RR191" s="15"/>
      <c r="RS191" s="15"/>
      <c r="RT191" s="15"/>
      <c r="RU191" s="15"/>
      <c r="RV191" s="15"/>
      <c r="RW191" s="15"/>
      <c r="RX191" s="15"/>
      <c r="RY191" s="15"/>
      <c r="RZ191" s="15"/>
      <c r="SA191" s="15"/>
      <c r="SB191" s="15"/>
      <c r="SC191" s="15"/>
      <c r="SD191" s="15"/>
      <c r="SE191" s="15"/>
      <c r="SF191" s="15"/>
      <c r="SG191" s="15"/>
      <c r="SH191" s="15"/>
      <c r="SI191" s="15"/>
      <c r="SJ191" s="15"/>
      <c r="SK191" s="15"/>
      <c r="SL191" s="15"/>
      <c r="SM191" s="15"/>
      <c r="SN191" s="15"/>
      <c r="SO191" s="15"/>
      <c r="SP191" s="15"/>
      <c r="SQ191" s="15"/>
      <c r="SR191" s="15"/>
      <c r="SS191" s="15"/>
      <c r="ST191" s="15"/>
      <c r="SU191" s="15"/>
      <c r="SV191" s="15"/>
      <c r="SW191" s="15"/>
      <c r="SX191" s="15"/>
      <c r="SY191" s="15"/>
      <c r="SZ191" s="15"/>
      <c r="TA191" s="15"/>
      <c r="TB191" s="15"/>
      <c r="TC191" s="15"/>
      <c r="TD191" s="15"/>
      <c r="TE191" s="15"/>
      <c r="TF191" s="15"/>
      <c r="TG191" s="15"/>
      <c r="TH191" s="15"/>
      <c r="TI191" s="15"/>
      <c r="TJ191" s="15"/>
      <c r="TK191" s="15"/>
      <c r="TL191" s="15"/>
      <c r="TM191" s="15"/>
      <c r="TN191" s="15"/>
      <c r="TO191" s="15"/>
      <c r="TP191" s="15"/>
      <c r="TQ191" s="15"/>
      <c r="TR191" s="15"/>
      <c r="TS191" s="15"/>
      <c r="TT191" s="15"/>
      <c r="TU191" s="15"/>
      <c r="TV191" s="15"/>
      <c r="TW191" s="15"/>
      <c r="TX191" s="15"/>
      <c r="TY191" s="15"/>
      <c r="TZ191" s="15"/>
      <c r="UA191" s="15"/>
      <c r="UB191" s="15"/>
      <c r="UC191" s="15"/>
      <c r="UD191" s="15"/>
      <c r="UE191" s="15"/>
      <c r="UF191" s="15"/>
      <c r="UG191" s="15"/>
      <c r="UH191" s="15"/>
      <c r="UI191" s="15"/>
      <c r="UJ191" s="15"/>
      <c r="UK191" s="15"/>
      <c r="UL191" s="15"/>
      <c r="UM191" s="15"/>
      <c r="UN191" s="15"/>
      <c r="UO191" s="15"/>
      <c r="UP191" s="15"/>
      <c r="UQ191" s="15"/>
      <c r="UR191" s="15"/>
      <c r="US191" s="15"/>
      <c r="UT191" s="15"/>
      <c r="UU191" s="15"/>
      <c r="UV191" s="15"/>
      <c r="UW191" s="15"/>
      <c r="UX191" s="15"/>
      <c r="UY191" s="15"/>
      <c r="UZ191" s="15"/>
      <c r="VA191" s="15"/>
      <c r="VB191" s="15"/>
      <c r="VC191" s="15"/>
      <c r="VD191" s="15"/>
      <c r="VE191" s="15"/>
      <c r="VF191" s="15"/>
      <c r="VG191" s="15"/>
      <c r="VH191" s="15"/>
      <c r="VI191" s="15"/>
      <c r="VJ191" s="15"/>
      <c r="VK191" s="15"/>
      <c r="VL191" s="15"/>
      <c r="VM191" s="15"/>
      <c r="VN191" s="15"/>
      <c r="VO191" s="15"/>
      <c r="VP191" s="15"/>
      <c r="VQ191" s="15"/>
      <c r="VR191" s="15"/>
      <c r="VS191" s="15"/>
      <c r="VT191" s="15"/>
      <c r="VU191" s="15"/>
      <c r="VV191" s="15"/>
      <c r="VW191" s="15"/>
      <c r="VX191" s="15"/>
      <c r="VY191" s="15"/>
      <c r="VZ191" s="15"/>
      <c r="WA191" s="15"/>
      <c r="WB191" s="15"/>
      <c r="WC191" s="15"/>
      <c r="WD191" s="15"/>
      <c r="WE191" s="15"/>
      <c r="WF191" s="15"/>
      <c r="WG191" s="15"/>
      <c r="WH191" s="15"/>
      <c r="WI191" s="15"/>
      <c r="WJ191" s="15"/>
      <c r="WK191" s="15"/>
      <c r="WL191" s="15"/>
      <c r="WM191" s="15"/>
      <c r="WN191" s="15"/>
      <c r="WO191" s="15"/>
      <c r="WP191" s="15"/>
      <c r="WQ191" s="15"/>
      <c r="WR191" s="15"/>
      <c r="WS191" s="15"/>
      <c r="WT191" s="15"/>
      <c r="WU191" s="15"/>
      <c r="WV191" s="15"/>
      <c r="WW191" s="15"/>
      <c r="WX191" s="15"/>
      <c r="WY191" s="15"/>
      <c r="WZ191" s="15"/>
      <c r="XA191" s="15"/>
      <c r="XB191" s="15"/>
      <c r="XC191" s="15"/>
      <c r="XD191" s="15"/>
      <c r="XE191" s="15"/>
      <c r="XF191" s="15"/>
      <c r="XG191" s="15"/>
      <c r="XH191" s="15"/>
      <c r="XI191" s="15"/>
      <c r="XJ191" s="15"/>
      <c r="XK191" s="15"/>
      <c r="XL191" s="15"/>
      <c r="XM191" s="15"/>
      <c r="XN191" s="15"/>
      <c r="XO191" s="15"/>
      <c r="XP191" s="15"/>
      <c r="XQ191" s="15"/>
      <c r="XR191" s="15"/>
      <c r="XS191" s="15"/>
      <c r="XT191" s="15"/>
      <c r="XU191" s="15"/>
      <c r="XV191" s="15"/>
      <c r="XW191" s="15"/>
      <c r="XX191" s="15"/>
      <c r="XY191" s="15"/>
      <c r="XZ191" s="15"/>
      <c r="YA191" s="15"/>
      <c r="YB191" s="15"/>
      <c r="YC191" s="15"/>
      <c r="YD191" s="15"/>
      <c r="YE191" s="15"/>
      <c r="YF191" s="15"/>
      <c r="YG191" s="15"/>
      <c r="YH191" s="15"/>
      <c r="YI191" s="15"/>
      <c r="YJ191" s="15"/>
      <c r="YK191" s="15"/>
      <c r="YL191" s="15"/>
      <c r="YM191" s="15"/>
      <c r="YN191" s="15"/>
      <c r="YO191" s="15"/>
      <c r="YP191" s="15"/>
      <c r="YQ191" s="15"/>
      <c r="YR191" s="15"/>
      <c r="YS191" s="15"/>
      <c r="YT191" s="15"/>
      <c r="YU191" s="15"/>
      <c r="YV191" s="15"/>
      <c r="YW191" s="15"/>
      <c r="YX191" s="15"/>
      <c r="YY191" s="15"/>
      <c r="YZ191" s="15"/>
      <c r="ZA191" s="15"/>
      <c r="ZB191" s="15"/>
      <c r="ZC191" s="15"/>
      <c r="ZD191" s="15"/>
      <c r="ZE191" s="15"/>
      <c r="ZF191" s="15"/>
      <c r="ZG191" s="15"/>
      <c r="ZH191" s="15"/>
      <c r="ZI191" s="15"/>
      <c r="ZJ191" s="15"/>
      <c r="ZK191" s="15"/>
      <c r="ZL191" s="15"/>
      <c r="ZM191" s="15"/>
      <c r="ZN191" s="15"/>
      <c r="ZO191" s="15"/>
      <c r="ZP191" s="15"/>
      <c r="ZQ191" s="15"/>
      <c r="ZR191" s="15"/>
      <c r="ZS191" s="15"/>
      <c r="ZT191" s="15"/>
      <c r="ZU191" s="15"/>
      <c r="ZV191" s="15"/>
      <c r="ZW191" s="15"/>
      <c r="ZX191" s="15"/>
      <c r="ZY191" s="15"/>
      <c r="ZZ191" s="15"/>
      <c r="AAA191" s="15"/>
      <c r="AAB191" s="15"/>
      <c r="AAC191" s="15"/>
      <c r="AAD191" s="15"/>
      <c r="AAE191" s="15"/>
      <c r="AAF191" s="15"/>
      <c r="AAG191" s="15"/>
      <c r="AAH191" s="15"/>
      <c r="AAI191" s="15"/>
      <c r="AAJ191" s="15"/>
      <c r="AAK191" s="15"/>
      <c r="AAL191" s="15"/>
      <c r="AAM191" s="15"/>
      <c r="AAN191" s="15"/>
      <c r="AAO191" s="15"/>
      <c r="AAP191" s="15"/>
      <c r="AAQ191" s="15"/>
      <c r="AAR191" s="15"/>
      <c r="AAS191" s="15"/>
      <c r="AAT191" s="15"/>
      <c r="AAU191" s="15"/>
      <c r="AAV191" s="15"/>
      <c r="AAW191" s="15"/>
      <c r="AAX191" s="15"/>
      <c r="AAY191" s="15"/>
      <c r="AAZ191" s="15"/>
      <c r="ABA191" s="15"/>
      <c r="ABB191" s="15"/>
      <c r="ABC191" s="15"/>
      <c r="ABD191" s="15"/>
      <c r="ABE191" s="15"/>
      <c r="ABF191" s="15"/>
      <c r="ABG191" s="15"/>
      <c r="ABH191" s="15"/>
      <c r="ABI191" s="15"/>
      <c r="ABJ191" s="15"/>
      <c r="ABK191" s="15"/>
      <c r="ABL191" s="15"/>
      <c r="ABM191" s="15"/>
      <c r="ABN191" s="15"/>
      <c r="ABO191" s="15"/>
      <c r="ABP191" s="15"/>
      <c r="ABQ191" s="15"/>
      <c r="ABR191" s="15"/>
      <c r="ABS191" s="15"/>
      <c r="ABT191" s="15"/>
      <c r="ABU191" s="15"/>
      <c r="ABV191" s="15"/>
      <c r="ABW191" s="15"/>
      <c r="ABX191" s="15"/>
      <c r="ABY191" s="15"/>
      <c r="ABZ191" s="15"/>
      <c r="ACA191" s="15"/>
      <c r="ACB191" s="15"/>
      <c r="ACC191" s="15"/>
      <c r="ACD191" s="15"/>
      <c r="ACE191" s="15"/>
      <c r="ACF191" s="15"/>
      <c r="ACG191" s="15"/>
      <c r="ACH191" s="15"/>
      <c r="ACI191" s="15"/>
      <c r="ACJ191" s="15"/>
      <c r="ACK191" s="15"/>
      <c r="ACL191" s="15"/>
      <c r="ACM191" s="15"/>
      <c r="ACN191" s="15"/>
      <c r="ACO191" s="15"/>
      <c r="ACP191" s="15"/>
      <c r="ACQ191" s="15"/>
      <c r="ACR191" s="15"/>
      <c r="ACS191" s="15"/>
      <c r="ACT191" s="15"/>
      <c r="ACU191" s="15"/>
      <c r="ACV191" s="15"/>
      <c r="ACW191" s="15"/>
      <c r="ACX191" s="15"/>
      <c r="ACY191" s="15"/>
      <c r="ACZ191" s="15"/>
      <c r="ADA191" s="15"/>
      <c r="ADB191" s="15"/>
      <c r="ADC191" s="15"/>
      <c r="ADD191" s="15"/>
      <c r="ADE191" s="15"/>
      <c r="ADF191" s="15"/>
      <c r="ADG191" s="15"/>
      <c r="ADH191" s="15"/>
      <c r="ADI191" s="15"/>
      <c r="ADJ191" s="15"/>
      <c r="ADK191" s="15"/>
      <c r="ADL191" s="15"/>
      <c r="ADM191" s="15"/>
      <c r="ADN191" s="15"/>
      <c r="ADO191" s="15"/>
      <c r="ADP191" s="15"/>
      <c r="ADQ191" s="15"/>
      <c r="ADR191" s="15"/>
      <c r="ADS191" s="15"/>
      <c r="ADT191" s="15"/>
      <c r="ADU191" s="15"/>
      <c r="ADV191" s="15"/>
      <c r="ADW191" s="15"/>
      <c r="ADX191" s="15"/>
      <c r="ADY191" s="15"/>
      <c r="ADZ191" s="15"/>
      <c r="AEA191" s="15"/>
      <c r="AEB191" s="15"/>
      <c r="AEC191" s="15"/>
      <c r="AED191" s="15"/>
      <c r="AEE191" s="15"/>
      <c r="AEF191" s="15"/>
      <c r="AEG191" s="15"/>
      <c r="AEH191" s="15"/>
      <c r="AEI191" s="15"/>
      <c r="AEJ191" s="15"/>
      <c r="AEK191" s="15"/>
      <c r="AEL191" s="15"/>
      <c r="AEM191" s="15"/>
      <c r="AEN191" s="15"/>
      <c r="AEO191" s="15"/>
      <c r="AEP191" s="15"/>
      <c r="AEQ191" s="15"/>
      <c r="AER191" s="15"/>
      <c r="AES191" s="15"/>
      <c r="AET191" s="15"/>
      <c r="AEU191" s="15"/>
      <c r="AEV191" s="15"/>
      <c r="AEW191" s="15"/>
      <c r="AEX191" s="15"/>
      <c r="AEY191" s="15"/>
      <c r="AEZ191" s="15"/>
      <c r="AFA191" s="15"/>
      <c r="AFB191" s="15"/>
      <c r="AFC191" s="15"/>
      <c r="AFD191" s="15"/>
      <c r="AFE191" s="15"/>
      <c r="AFF191" s="15"/>
      <c r="AFG191" s="15"/>
      <c r="AFH191" s="15"/>
    </row>
    <row r="192" spans="1:840" s="15" customFormat="1" ht="27" customHeight="1">
      <c r="A192" s="92">
        <f t="shared" si="4"/>
        <v>57</v>
      </c>
      <c r="B192" s="91"/>
      <c r="C192" s="93" t="str">
        <f>C61</f>
        <v>ERA MAX WIJEN HITAM</v>
      </c>
      <c r="D192" s="94"/>
      <c r="E192" s="94"/>
      <c r="F192" s="94"/>
      <c r="G192" s="94"/>
      <c r="H192" s="94"/>
      <c r="I192" s="94"/>
      <c r="J192" s="94"/>
      <c r="K192" s="94"/>
      <c r="L192" s="95"/>
      <c r="M192" s="37"/>
      <c r="N192" s="37" t="s">
        <v>75</v>
      </c>
      <c r="O192" s="37"/>
      <c r="P192" s="99" t="s">
        <v>324</v>
      </c>
      <c r="Q192" s="97"/>
      <c r="R192" s="97"/>
      <c r="S192" s="100"/>
      <c r="T192" s="43" t="s">
        <v>82</v>
      </c>
      <c r="U192" s="44"/>
      <c r="V192" s="45"/>
      <c r="W192" s="99" t="s">
        <v>324</v>
      </c>
      <c r="X192" s="97"/>
      <c r="Y192" s="97"/>
      <c r="Z192" s="100"/>
      <c r="AA192" s="92" t="s">
        <v>83</v>
      </c>
      <c r="AB192" s="90"/>
      <c r="AC192" s="90"/>
      <c r="AD192" s="90"/>
      <c r="AE192" s="91"/>
      <c r="AF192" s="108" t="s">
        <v>333</v>
      </c>
      <c r="AG192" s="109"/>
      <c r="AH192" s="109"/>
      <c r="AI192" s="109"/>
      <c r="AJ192" s="109"/>
      <c r="AK192" s="109"/>
      <c r="AL192" s="109"/>
      <c r="AM192" s="110" t="s">
        <v>233</v>
      </c>
      <c r="AN192" s="111"/>
      <c r="AO192" s="111"/>
      <c r="AP192" s="112"/>
      <c r="AQ192" s="89" t="s">
        <v>230</v>
      </c>
      <c r="AR192" s="90"/>
      <c r="AS192" s="90"/>
      <c r="AT192" s="90"/>
      <c r="AU192" s="90"/>
      <c r="AV192" s="90"/>
      <c r="AW192" s="91"/>
    </row>
    <row r="193" spans="1:55" s="15" customFormat="1" ht="27" customHeight="1">
      <c r="A193" s="92">
        <f t="shared" si="4"/>
        <v>58</v>
      </c>
      <c r="B193" s="91"/>
      <c r="C193" s="93" t="str">
        <f>C62</f>
        <v>ERA MAX WIJEN PUTIH</v>
      </c>
      <c r="D193" s="94"/>
      <c r="E193" s="94"/>
      <c r="F193" s="94"/>
      <c r="G193" s="94"/>
      <c r="H193" s="94"/>
      <c r="I193" s="94"/>
      <c r="J193" s="94"/>
      <c r="K193" s="94"/>
      <c r="L193" s="95"/>
      <c r="M193" s="37"/>
      <c r="N193" s="37" t="s">
        <v>75</v>
      </c>
      <c r="O193" s="37"/>
      <c r="P193" s="99" t="s">
        <v>324</v>
      </c>
      <c r="Q193" s="97"/>
      <c r="R193" s="97"/>
      <c r="S193" s="100"/>
      <c r="T193" s="43" t="s">
        <v>82</v>
      </c>
      <c r="U193" s="44"/>
      <c r="V193" s="45"/>
      <c r="W193" s="99" t="s">
        <v>324</v>
      </c>
      <c r="X193" s="97"/>
      <c r="Y193" s="97"/>
      <c r="Z193" s="100"/>
      <c r="AA193" s="92" t="s">
        <v>83</v>
      </c>
      <c r="AB193" s="90"/>
      <c r="AC193" s="90"/>
      <c r="AD193" s="90"/>
      <c r="AE193" s="91"/>
      <c r="AF193" s="108" t="s">
        <v>333</v>
      </c>
      <c r="AG193" s="109"/>
      <c r="AH193" s="109"/>
      <c r="AI193" s="109"/>
      <c r="AJ193" s="109"/>
      <c r="AK193" s="109"/>
      <c r="AL193" s="109"/>
      <c r="AM193" s="110" t="s">
        <v>233</v>
      </c>
      <c r="AN193" s="111"/>
      <c r="AO193" s="111"/>
      <c r="AP193" s="112"/>
      <c r="AQ193" s="89" t="s">
        <v>230</v>
      </c>
      <c r="AR193" s="90"/>
      <c r="AS193" s="90"/>
      <c r="AT193" s="90"/>
      <c r="AU193" s="90"/>
      <c r="AV193" s="90"/>
      <c r="AW193" s="91"/>
    </row>
    <row r="194" spans="1:55" s="15" customFormat="1" ht="27" customHeight="1">
      <c r="A194" s="92">
        <f t="shared" si="4"/>
        <v>59</v>
      </c>
      <c r="B194" s="91"/>
      <c r="C194" s="93" t="str">
        <f>C63</f>
        <v xml:space="preserve">Aqua </v>
      </c>
      <c r="D194" s="94"/>
      <c r="E194" s="94"/>
      <c r="F194" s="94"/>
      <c r="G194" s="94"/>
      <c r="H194" s="94"/>
      <c r="I194" s="94"/>
      <c r="J194" s="94"/>
      <c r="K194" s="94"/>
      <c r="L194" s="95"/>
      <c r="M194" s="37" t="s">
        <v>75</v>
      </c>
      <c r="N194" s="37"/>
      <c r="O194" s="37"/>
      <c r="P194" s="96" t="s">
        <v>162</v>
      </c>
      <c r="Q194" s="97"/>
      <c r="R194" s="97"/>
      <c r="S194" s="98"/>
      <c r="T194" s="43" t="s">
        <v>82</v>
      </c>
      <c r="U194" s="44"/>
      <c r="V194" s="45"/>
      <c r="W194" s="99" t="s">
        <v>162</v>
      </c>
      <c r="X194" s="97"/>
      <c r="Y194" s="97"/>
      <c r="Z194" s="100"/>
      <c r="AA194" s="92" t="s">
        <v>83</v>
      </c>
      <c r="AB194" s="90"/>
      <c r="AC194" s="90"/>
      <c r="AD194" s="90"/>
      <c r="AE194" s="91"/>
      <c r="AF194" s="113" t="s">
        <v>163</v>
      </c>
      <c r="AG194" s="114"/>
      <c r="AH194" s="114"/>
      <c r="AI194" s="114"/>
      <c r="AJ194" s="114"/>
      <c r="AK194" s="114"/>
      <c r="AL194" s="114"/>
      <c r="AM194" s="115" t="s">
        <v>164</v>
      </c>
      <c r="AN194" s="114"/>
      <c r="AO194" s="114"/>
      <c r="AP194" s="116"/>
      <c r="AQ194" s="89" t="s">
        <v>230</v>
      </c>
      <c r="AR194" s="90"/>
      <c r="AS194" s="90"/>
      <c r="AT194" s="90"/>
      <c r="AU194" s="90"/>
      <c r="AV194" s="90"/>
      <c r="AW194" s="91"/>
    </row>
    <row r="195" spans="1:55" s="15" customFormat="1" ht="27" customHeight="1">
      <c r="A195" s="92">
        <f>A194+1</f>
        <v>60</v>
      </c>
      <c r="B195" s="91"/>
      <c r="C195" s="93" t="str">
        <f>C64</f>
        <v>Sunny Choice Premium</v>
      </c>
      <c r="D195" s="94"/>
      <c r="E195" s="94"/>
      <c r="F195" s="94"/>
      <c r="G195" s="94"/>
      <c r="H195" s="94"/>
      <c r="I195" s="94"/>
      <c r="J195" s="94"/>
      <c r="K195" s="94"/>
      <c r="L195" s="95"/>
      <c r="M195" s="37" t="s">
        <v>75</v>
      </c>
      <c r="N195" s="37"/>
      <c r="O195" s="37"/>
      <c r="P195" s="96" t="s">
        <v>165</v>
      </c>
      <c r="Q195" s="97"/>
      <c r="R195" s="97"/>
      <c r="S195" s="98"/>
      <c r="T195" s="43" t="s">
        <v>82</v>
      </c>
      <c r="U195" s="44"/>
      <c r="V195" s="45"/>
      <c r="W195" s="99" t="s">
        <v>166</v>
      </c>
      <c r="X195" s="97"/>
      <c r="Y195" s="97"/>
      <c r="Z195" s="100"/>
      <c r="AA195" s="92" t="s">
        <v>83</v>
      </c>
      <c r="AB195" s="90"/>
      <c r="AC195" s="90"/>
      <c r="AD195" s="90"/>
      <c r="AE195" s="91"/>
      <c r="AF195" s="92" t="s">
        <v>167</v>
      </c>
      <c r="AG195" s="90"/>
      <c r="AH195" s="90"/>
      <c r="AI195" s="90"/>
      <c r="AJ195" s="90"/>
      <c r="AK195" s="90"/>
      <c r="AL195" s="90"/>
      <c r="AM195" s="101">
        <v>46141</v>
      </c>
      <c r="AN195" s="102"/>
      <c r="AO195" s="102"/>
      <c r="AP195" s="103"/>
      <c r="AQ195" s="89" t="s">
        <v>230</v>
      </c>
      <c r="AR195" s="90"/>
      <c r="AS195" s="90"/>
      <c r="AT195" s="90"/>
      <c r="AU195" s="90"/>
      <c r="AV195" s="90"/>
      <c r="AW195" s="91"/>
    </row>
    <row r="196" spans="1:55" s="15" customFormat="1" ht="27" customHeight="1">
      <c r="A196" s="89">
        <f>1+A195</f>
        <v>61</v>
      </c>
      <c r="B196" s="104"/>
      <c r="C196" s="93" t="str">
        <f>C65</f>
        <v>GRACELAND DRIED CRANBERRIES</v>
      </c>
      <c r="D196" s="94"/>
      <c r="E196" s="94"/>
      <c r="F196" s="94"/>
      <c r="G196" s="94"/>
      <c r="H196" s="94"/>
      <c r="I196" s="94"/>
      <c r="J196" s="94"/>
      <c r="K196" s="94"/>
      <c r="L196" s="95"/>
      <c r="M196" s="37" t="s">
        <v>75</v>
      </c>
      <c r="N196" s="37"/>
      <c r="O196" s="37"/>
      <c r="P196" s="96" t="s">
        <v>256</v>
      </c>
      <c r="Q196" s="97"/>
      <c r="R196" s="97"/>
      <c r="S196" s="98"/>
      <c r="T196" s="43" t="s">
        <v>105</v>
      </c>
      <c r="U196" s="44"/>
      <c r="V196" s="45"/>
      <c r="W196" s="99" t="s">
        <v>255</v>
      </c>
      <c r="X196" s="97"/>
      <c r="Y196" s="97"/>
      <c r="Z196" s="100"/>
      <c r="AA196" s="105"/>
      <c r="AB196" s="106"/>
      <c r="AC196" s="106"/>
      <c r="AD196" s="106"/>
      <c r="AE196" s="107"/>
      <c r="AF196" s="92" t="s">
        <v>257</v>
      </c>
      <c r="AG196" s="90"/>
      <c r="AH196" s="90"/>
      <c r="AI196" s="90"/>
      <c r="AJ196" s="90"/>
      <c r="AK196" s="90"/>
      <c r="AL196" s="90"/>
      <c r="AM196" s="101">
        <v>46295</v>
      </c>
      <c r="AN196" s="102"/>
      <c r="AO196" s="102"/>
      <c r="AP196" s="103"/>
      <c r="AQ196" s="89" t="s">
        <v>230</v>
      </c>
      <c r="AR196" s="90"/>
      <c r="AS196" s="90"/>
      <c r="AT196" s="90"/>
      <c r="AU196" s="90"/>
      <c r="AV196" s="90"/>
      <c r="AW196" s="91"/>
      <c r="BC196" s="50"/>
    </row>
    <row r="197" spans="1:55" ht="27" customHeight="1">
      <c r="A197" s="89">
        <v>62</v>
      </c>
      <c r="B197" s="104"/>
      <c r="C197" s="93" t="str">
        <f>C66</f>
        <v xml:space="preserve">CARLO </v>
      </c>
      <c r="D197" s="94"/>
      <c r="E197" s="94"/>
      <c r="F197" s="94"/>
      <c r="G197" s="94"/>
      <c r="H197" s="94"/>
      <c r="I197" s="94"/>
      <c r="J197" s="94"/>
      <c r="K197" s="94"/>
      <c r="L197" s="95"/>
      <c r="M197" s="37"/>
      <c r="N197" s="37"/>
      <c r="O197" s="37"/>
      <c r="P197" s="96" t="s">
        <v>242</v>
      </c>
      <c r="Q197" s="97"/>
      <c r="R197" s="97"/>
      <c r="S197" s="98"/>
      <c r="T197" s="43" t="s">
        <v>243</v>
      </c>
      <c r="U197" s="44"/>
      <c r="V197" s="45"/>
      <c r="W197" s="99" t="s">
        <v>244</v>
      </c>
      <c r="X197" s="97"/>
      <c r="Y197" s="97"/>
      <c r="Z197" s="100"/>
      <c r="AA197" s="92" t="s">
        <v>83</v>
      </c>
      <c r="AB197" s="90"/>
      <c r="AC197" s="90"/>
      <c r="AD197" s="90"/>
      <c r="AE197" s="91"/>
      <c r="AF197" s="92" t="s">
        <v>245</v>
      </c>
      <c r="AG197" s="90"/>
      <c r="AH197" s="90"/>
      <c r="AI197" s="90"/>
      <c r="AJ197" s="90"/>
      <c r="AK197" s="90"/>
      <c r="AL197" s="90"/>
      <c r="AM197" s="110" t="s">
        <v>233</v>
      </c>
      <c r="AN197" s="111"/>
      <c r="AO197" s="111"/>
      <c r="AP197" s="112"/>
      <c r="AQ197" s="89" t="s">
        <v>230</v>
      </c>
      <c r="AR197" s="90"/>
      <c r="AS197" s="90"/>
      <c r="AT197" s="90"/>
      <c r="AU197" s="90"/>
      <c r="AV197" s="90"/>
      <c r="AW197" s="91"/>
      <c r="BC197" s="33"/>
    </row>
    <row r="198" spans="1:55" ht="27" customHeight="1">
      <c r="A198" s="89">
        <f t="shared" ref="A198:A207" si="5">1+A197</f>
        <v>63</v>
      </c>
      <c r="B198" s="104"/>
      <c r="C198" s="93" t="str">
        <f>C67</f>
        <v>ATHENA BAKING POWDER</v>
      </c>
      <c r="D198" s="94"/>
      <c r="E198" s="94"/>
      <c r="F198" s="94"/>
      <c r="G198" s="94"/>
      <c r="H198" s="94"/>
      <c r="I198" s="94"/>
      <c r="J198" s="94"/>
      <c r="K198" s="94"/>
      <c r="L198" s="95"/>
      <c r="M198" s="37"/>
      <c r="N198" s="37"/>
      <c r="O198" s="37"/>
      <c r="P198" s="96" t="s">
        <v>242</v>
      </c>
      <c r="Q198" s="97"/>
      <c r="R198" s="97"/>
      <c r="S198" s="98"/>
      <c r="T198" s="43" t="s">
        <v>243</v>
      </c>
      <c r="U198" s="44"/>
      <c r="V198" s="45"/>
      <c r="W198" s="99" t="s">
        <v>244</v>
      </c>
      <c r="X198" s="97"/>
      <c r="Y198" s="97"/>
      <c r="Z198" s="100"/>
      <c r="AA198" s="92" t="s">
        <v>83</v>
      </c>
      <c r="AB198" s="90"/>
      <c r="AC198" s="90"/>
      <c r="AD198" s="90"/>
      <c r="AE198" s="91"/>
      <c r="AF198" s="92" t="s">
        <v>245</v>
      </c>
      <c r="AG198" s="90"/>
      <c r="AH198" s="90"/>
      <c r="AI198" s="90"/>
      <c r="AJ198" s="90"/>
      <c r="AK198" s="90"/>
      <c r="AL198" s="90"/>
      <c r="AM198" s="110" t="s">
        <v>233</v>
      </c>
      <c r="AN198" s="111"/>
      <c r="AO198" s="111"/>
      <c r="AP198" s="112"/>
      <c r="AQ198" s="89" t="s">
        <v>230</v>
      </c>
      <c r="AR198" s="90"/>
      <c r="AS198" s="90"/>
      <c r="AT198" s="90"/>
      <c r="AU198" s="90"/>
      <c r="AV198" s="90"/>
      <c r="AW198" s="91"/>
      <c r="BC198" s="33"/>
    </row>
    <row r="199" spans="1:55" ht="27" customHeight="1">
      <c r="A199" s="89">
        <f t="shared" si="5"/>
        <v>64</v>
      </c>
      <c r="B199" s="104"/>
      <c r="C199" s="93" t="str">
        <f>C68</f>
        <v>VIENNA Daging Ayam Asap ( SMOKED CHICKEN )</v>
      </c>
      <c r="D199" s="94"/>
      <c r="E199" s="94"/>
      <c r="F199" s="94"/>
      <c r="G199" s="94"/>
      <c r="H199" s="94"/>
      <c r="I199" s="94"/>
      <c r="J199" s="94"/>
      <c r="K199" s="94"/>
      <c r="L199" s="95"/>
      <c r="M199" s="37"/>
      <c r="N199" s="37"/>
      <c r="O199" s="37"/>
      <c r="P199" s="96" t="s">
        <v>259</v>
      </c>
      <c r="Q199" s="97"/>
      <c r="R199" s="97"/>
      <c r="S199" s="98"/>
      <c r="T199" s="43" t="s">
        <v>243</v>
      </c>
      <c r="U199" s="44"/>
      <c r="V199" s="45"/>
      <c r="W199" s="99" t="s">
        <v>260</v>
      </c>
      <c r="X199" s="97"/>
      <c r="Y199" s="97"/>
      <c r="Z199" s="100"/>
      <c r="AA199" s="92" t="s">
        <v>83</v>
      </c>
      <c r="AB199" s="90"/>
      <c r="AC199" s="90"/>
      <c r="AD199" s="90"/>
      <c r="AE199" s="91"/>
      <c r="AF199" s="92" t="s">
        <v>261</v>
      </c>
      <c r="AG199" s="90"/>
      <c r="AH199" s="90"/>
      <c r="AI199" s="90"/>
      <c r="AJ199" s="90"/>
      <c r="AK199" s="90"/>
      <c r="AL199" s="90"/>
      <c r="AM199" s="101">
        <v>46039</v>
      </c>
      <c r="AN199" s="102"/>
      <c r="AO199" s="102"/>
      <c r="AP199" s="103"/>
      <c r="AQ199" s="89" t="s">
        <v>230</v>
      </c>
      <c r="AR199" s="90"/>
      <c r="AS199" s="90"/>
      <c r="AT199" s="90"/>
      <c r="AU199" s="90"/>
      <c r="AV199" s="90"/>
      <c r="AW199" s="91"/>
      <c r="BC199" s="33"/>
    </row>
    <row r="200" spans="1:55" ht="27" customHeight="1">
      <c r="A200" s="89">
        <f t="shared" si="5"/>
        <v>65</v>
      </c>
      <c r="B200" s="104"/>
      <c r="C200" s="93" t="str">
        <f>C69</f>
        <v>VIENNA Daging Sapi Asap (SMOKE BEEF)</v>
      </c>
      <c r="D200" s="94"/>
      <c r="E200" s="94"/>
      <c r="F200" s="94"/>
      <c r="G200" s="94"/>
      <c r="H200" s="94"/>
      <c r="I200" s="94"/>
      <c r="J200" s="94"/>
      <c r="K200" s="94"/>
      <c r="L200" s="95"/>
      <c r="M200" s="37"/>
      <c r="N200" s="37"/>
      <c r="O200" s="37"/>
      <c r="P200" s="96" t="s">
        <v>259</v>
      </c>
      <c r="Q200" s="97"/>
      <c r="R200" s="97"/>
      <c r="S200" s="98"/>
      <c r="T200" s="43" t="s">
        <v>243</v>
      </c>
      <c r="U200" s="44"/>
      <c r="V200" s="45"/>
      <c r="W200" s="99" t="s">
        <v>260</v>
      </c>
      <c r="X200" s="97"/>
      <c r="Y200" s="97"/>
      <c r="Z200" s="100"/>
      <c r="AA200" s="92" t="s">
        <v>83</v>
      </c>
      <c r="AB200" s="90"/>
      <c r="AC200" s="90"/>
      <c r="AD200" s="90"/>
      <c r="AE200" s="91"/>
      <c r="AF200" s="92" t="s">
        <v>261</v>
      </c>
      <c r="AG200" s="90"/>
      <c r="AH200" s="90"/>
      <c r="AI200" s="90"/>
      <c r="AJ200" s="90"/>
      <c r="AK200" s="90"/>
      <c r="AL200" s="90"/>
      <c r="AM200" s="101">
        <v>46039</v>
      </c>
      <c r="AN200" s="102"/>
      <c r="AO200" s="102"/>
      <c r="AP200" s="103"/>
      <c r="AQ200" s="89" t="s">
        <v>230</v>
      </c>
      <c r="AR200" s="90"/>
      <c r="AS200" s="90"/>
      <c r="AT200" s="90"/>
      <c r="AU200" s="90"/>
      <c r="AV200" s="90"/>
      <c r="AW200" s="91"/>
      <c r="BC200" s="33"/>
    </row>
    <row r="201" spans="1:55" ht="27" customHeight="1">
      <c r="A201" s="89">
        <f t="shared" si="5"/>
        <v>66</v>
      </c>
      <c r="B201" s="104"/>
      <c r="C201" s="93" t="str">
        <f>C70</f>
        <v>VIENNA Sosis Sapi (Beef Coctail)</v>
      </c>
      <c r="D201" s="94"/>
      <c r="E201" s="94"/>
      <c r="F201" s="94"/>
      <c r="G201" s="94"/>
      <c r="H201" s="94"/>
      <c r="I201" s="94"/>
      <c r="J201" s="94"/>
      <c r="K201" s="94"/>
      <c r="L201" s="95"/>
      <c r="M201" s="37"/>
      <c r="N201" s="37"/>
      <c r="O201" s="37"/>
      <c r="P201" s="96" t="s">
        <v>259</v>
      </c>
      <c r="Q201" s="97"/>
      <c r="R201" s="97"/>
      <c r="S201" s="98"/>
      <c r="T201" s="43" t="s">
        <v>243</v>
      </c>
      <c r="U201" s="44"/>
      <c r="V201" s="45"/>
      <c r="W201" s="99" t="s">
        <v>260</v>
      </c>
      <c r="X201" s="97"/>
      <c r="Y201" s="97"/>
      <c r="Z201" s="100"/>
      <c r="AA201" s="92" t="s">
        <v>83</v>
      </c>
      <c r="AB201" s="90"/>
      <c r="AC201" s="90"/>
      <c r="AD201" s="90"/>
      <c r="AE201" s="91"/>
      <c r="AF201" s="92" t="s">
        <v>261</v>
      </c>
      <c r="AG201" s="90"/>
      <c r="AH201" s="90"/>
      <c r="AI201" s="90"/>
      <c r="AJ201" s="90"/>
      <c r="AK201" s="90"/>
      <c r="AL201" s="90"/>
      <c r="AM201" s="101">
        <v>46039</v>
      </c>
      <c r="AN201" s="102"/>
      <c r="AO201" s="102"/>
      <c r="AP201" s="103"/>
      <c r="AQ201" s="89" t="s">
        <v>230</v>
      </c>
      <c r="AR201" s="90"/>
      <c r="AS201" s="90"/>
      <c r="AT201" s="90"/>
      <c r="AU201" s="90"/>
      <c r="AV201" s="90"/>
      <c r="AW201" s="91"/>
      <c r="BC201" s="33"/>
    </row>
    <row r="202" spans="1:55" ht="27" customHeight="1">
      <c r="A202" s="89">
        <f t="shared" si="5"/>
        <v>67</v>
      </c>
      <c r="B202" s="104"/>
      <c r="C202" s="93" t="str">
        <f>C71</f>
        <v>VIENNA Sosis Ayam</v>
      </c>
      <c r="D202" s="94"/>
      <c r="E202" s="94"/>
      <c r="F202" s="94"/>
      <c r="G202" s="94"/>
      <c r="H202" s="94"/>
      <c r="I202" s="94"/>
      <c r="J202" s="94"/>
      <c r="K202" s="94"/>
      <c r="L202" s="95"/>
      <c r="M202" s="37"/>
      <c r="N202" s="37"/>
      <c r="O202" s="37"/>
      <c r="P202" s="96" t="s">
        <v>259</v>
      </c>
      <c r="Q202" s="97"/>
      <c r="R202" s="97"/>
      <c r="S202" s="98"/>
      <c r="T202" s="43" t="s">
        <v>243</v>
      </c>
      <c r="U202" s="44"/>
      <c r="V202" s="45"/>
      <c r="W202" s="99" t="s">
        <v>260</v>
      </c>
      <c r="X202" s="97"/>
      <c r="Y202" s="97"/>
      <c r="Z202" s="100"/>
      <c r="AA202" s="92" t="s">
        <v>83</v>
      </c>
      <c r="AB202" s="90"/>
      <c r="AC202" s="90"/>
      <c r="AD202" s="90"/>
      <c r="AE202" s="91"/>
      <c r="AF202" s="92" t="s">
        <v>261</v>
      </c>
      <c r="AG202" s="90"/>
      <c r="AH202" s="90"/>
      <c r="AI202" s="90"/>
      <c r="AJ202" s="90"/>
      <c r="AK202" s="90"/>
      <c r="AL202" s="90"/>
      <c r="AM202" s="101">
        <v>46039</v>
      </c>
      <c r="AN202" s="102"/>
      <c r="AO202" s="102"/>
      <c r="AP202" s="103"/>
      <c r="AQ202" s="89" t="s">
        <v>230</v>
      </c>
      <c r="AR202" s="90"/>
      <c r="AS202" s="90"/>
      <c r="AT202" s="90"/>
      <c r="AU202" s="90"/>
      <c r="AV202" s="90"/>
      <c r="AW202" s="91"/>
      <c r="BC202" s="33"/>
    </row>
    <row r="203" spans="1:55" ht="27" customHeight="1">
      <c r="A203" s="89">
        <f t="shared" si="5"/>
        <v>68</v>
      </c>
      <c r="B203" s="104"/>
      <c r="C203" s="93" t="str">
        <f>C72</f>
        <v>FLOUR PASTE - ADEKA FILLING SHEET (CHOCO) 1.2K</v>
      </c>
      <c r="D203" s="94"/>
      <c r="E203" s="94"/>
      <c r="F203" s="94"/>
      <c r="G203" s="94"/>
      <c r="H203" s="94"/>
      <c r="I203" s="94"/>
      <c r="J203" s="94"/>
      <c r="K203" s="94"/>
      <c r="L203" s="95"/>
      <c r="M203" s="37"/>
      <c r="N203" s="37"/>
      <c r="O203" s="37"/>
      <c r="P203" s="93" t="s">
        <v>110</v>
      </c>
      <c r="Q203" s="94"/>
      <c r="R203" s="94"/>
      <c r="S203" s="95"/>
      <c r="T203" s="43" t="s">
        <v>111</v>
      </c>
      <c r="U203" s="44"/>
      <c r="V203" s="45"/>
      <c r="W203" s="99" t="s">
        <v>112</v>
      </c>
      <c r="X203" s="97"/>
      <c r="Y203" s="97"/>
      <c r="Z203" s="100"/>
      <c r="AA203" s="167" t="s">
        <v>231</v>
      </c>
      <c r="AB203" s="168"/>
      <c r="AC203" s="168"/>
      <c r="AD203" s="168"/>
      <c r="AE203" s="169"/>
      <c r="AF203" s="92" t="s">
        <v>113</v>
      </c>
      <c r="AG203" s="90"/>
      <c r="AH203" s="90"/>
      <c r="AI203" s="90"/>
      <c r="AJ203" s="90"/>
      <c r="AK203" s="90"/>
      <c r="AL203" s="91"/>
      <c r="AM203" s="101">
        <v>46081</v>
      </c>
      <c r="AN203" s="102"/>
      <c r="AO203" s="102"/>
      <c r="AP203" s="103"/>
      <c r="AQ203" s="89" t="s">
        <v>230</v>
      </c>
      <c r="AR203" s="90"/>
      <c r="AS203" s="90"/>
      <c r="AT203" s="90"/>
      <c r="AU203" s="90"/>
      <c r="AV203" s="90"/>
      <c r="AW203" s="91"/>
      <c r="BC203" s="33"/>
    </row>
    <row r="204" spans="1:55" ht="27" customHeight="1">
      <c r="A204" s="89">
        <f t="shared" si="5"/>
        <v>69</v>
      </c>
      <c r="B204" s="104"/>
      <c r="C204" s="93" t="str">
        <f>C73</f>
        <v xml:space="preserve">FLOUR PASTE - ADEKA FILLING SHEET (CUSTARD) </v>
      </c>
      <c r="D204" s="94"/>
      <c r="E204" s="94"/>
      <c r="F204" s="94"/>
      <c r="G204" s="94"/>
      <c r="H204" s="94"/>
      <c r="I204" s="94"/>
      <c r="J204" s="94"/>
      <c r="K204" s="94"/>
      <c r="L204" s="95"/>
      <c r="M204" s="37"/>
      <c r="N204" s="37"/>
      <c r="O204" s="37"/>
      <c r="P204" s="93" t="s">
        <v>110</v>
      </c>
      <c r="Q204" s="94"/>
      <c r="R204" s="94"/>
      <c r="S204" s="95"/>
      <c r="T204" s="43" t="s">
        <v>111</v>
      </c>
      <c r="U204" s="44"/>
      <c r="V204" s="45"/>
      <c r="W204" s="99" t="s">
        <v>112</v>
      </c>
      <c r="X204" s="97"/>
      <c r="Y204" s="97"/>
      <c r="Z204" s="100"/>
      <c r="AA204" s="167" t="s">
        <v>231</v>
      </c>
      <c r="AB204" s="168"/>
      <c r="AC204" s="168"/>
      <c r="AD204" s="168"/>
      <c r="AE204" s="169"/>
      <c r="AF204" s="92" t="s">
        <v>113</v>
      </c>
      <c r="AG204" s="90"/>
      <c r="AH204" s="90"/>
      <c r="AI204" s="90"/>
      <c r="AJ204" s="90"/>
      <c r="AK204" s="90"/>
      <c r="AL204" s="91"/>
      <c r="AM204" s="101">
        <v>46081</v>
      </c>
      <c r="AN204" s="102"/>
      <c r="AO204" s="102"/>
      <c r="AP204" s="103"/>
      <c r="AQ204" s="89" t="s">
        <v>230</v>
      </c>
      <c r="AR204" s="90"/>
      <c r="AS204" s="90"/>
      <c r="AT204" s="90"/>
      <c r="AU204" s="90"/>
      <c r="AV204" s="90"/>
      <c r="AW204" s="91"/>
      <c r="BC204" s="33"/>
    </row>
    <row r="205" spans="1:55" ht="27" customHeight="1">
      <c r="A205" s="89">
        <f t="shared" si="5"/>
        <v>70</v>
      </c>
      <c r="B205" s="104"/>
      <c r="C205" s="93" t="str">
        <f>C74</f>
        <v>FLOUR PASTE - ADEKA FILLING SHEET (COFFEE)</v>
      </c>
      <c r="D205" s="94"/>
      <c r="E205" s="94"/>
      <c r="F205" s="94"/>
      <c r="G205" s="94"/>
      <c r="H205" s="94"/>
      <c r="I205" s="94"/>
      <c r="J205" s="94"/>
      <c r="K205" s="94"/>
      <c r="L205" s="95"/>
      <c r="M205" s="37"/>
      <c r="N205" s="37"/>
      <c r="O205" s="37"/>
      <c r="P205" s="93" t="s">
        <v>110</v>
      </c>
      <c r="Q205" s="94"/>
      <c r="R205" s="94"/>
      <c r="S205" s="95"/>
      <c r="T205" s="43" t="s">
        <v>111</v>
      </c>
      <c r="U205" s="44"/>
      <c r="V205" s="45"/>
      <c r="W205" s="99" t="s">
        <v>112</v>
      </c>
      <c r="X205" s="97"/>
      <c r="Y205" s="97"/>
      <c r="Z205" s="100"/>
      <c r="AA205" s="167" t="s">
        <v>231</v>
      </c>
      <c r="AB205" s="168"/>
      <c r="AC205" s="168"/>
      <c r="AD205" s="168"/>
      <c r="AE205" s="169"/>
      <c r="AF205" s="92" t="s">
        <v>113</v>
      </c>
      <c r="AG205" s="90"/>
      <c r="AH205" s="90"/>
      <c r="AI205" s="90"/>
      <c r="AJ205" s="90"/>
      <c r="AK205" s="90"/>
      <c r="AL205" s="91"/>
      <c r="AM205" s="101">
        <v>46081</v>
      </c>
      <c r="AN205" s="102"/>
      <c r="AO205" s="102"/>
      <c r="AP205" s="103"/>
      <c r="AQ205" s="89" t="s">
        <v>230</v>
      </c>
      <c r="AR205" s="90"/>
      <c r="AS205" s="90"/>
      <c r="AT205" s="90"/>
      <c r="AU205" s="90"/>
      <c r="AV205" s="90"/>
      <c r="AW205" s="91"/>
      <c r="BC205" s="33"/>
    </row>
    <row r="206" spans="1:55" ht="27" customHeight="1">
      <c r="A206" s="89">
        <f t="shared" si="5"/>
        <v>71</v>
      </c>
      <c r="B206" s="104"/>
      <c r="C206" s="93" t="str">
        <f>C75</f>
        <v>FLOUR PASTE - ADEKA FILLING SHEET (CHEESE SAVORY) 1.2K</v>
      </c>
      <c r="D206" s="94"/>
      <c r="E206" s="94"/>
      <c r="F206" s="94"/>
      <c r="G206" s="94"/>
      <c r="H206" s="94"/>
      <c r="I206" s="94"/>
      <c r="J206" s="94"/>
      <c r="K206" s="94"/>
      <c r="L206" s="95"/>
      <c r="M206" s="37"/>
      <c r="N206" s="37"/>
      <c r="O206" s="37"/>
      <c r="P206" s="93" t="s">
        <v>110</v>
      </c>
      <c r="Q206" s="94"/>
      <c r="R206" s="94"/>
      <c r="S206" s="95"/>
      <c r="T206" s="43" t="s">
        <v>111</v>
      </c>
      <c r="U206" s="44"/>
      <c r="V206" s="45"/>
      <c r="W206" s="99" t="s">
        <v>112</v>
      </c>
      <c r="X206" s="97"/>
      <c r="Y206" s="97"/>
      <c r="Z206" s="100"/>
      <c r="AA206" s="167" t="s">
        <v>231</v>
      </c>
      <c r="AB206" s="168"/>
      <c r="AC206" s="168"/>
      <c r="AD206" s="168"/>
      <c r="AE206" s="169"/>
      <c r="AF206" s="92" t="s">
        <v>113</v>
      </c>
      <c r="AG206" s="90"/>
      <c r="AH206" s="90"/>
      <c r="AI206" s="90"/>
      <c r="AJ206" s="90"/>
      <c r="AK206" s="90"/>
      <c r="AL206" s="91"/>
      <c r="AM206" s="101">
        <v>46081</v>
      </c>
      <c r="AN206" s="102"/>
      <c r="AO206" s="102"/>
      <c r="AP206" s="103"/>
      <c r="AQ206" s="89" t="s">
        <v>230</v>
      </c>
      <c r="AR206" s="90"/>
      <c r="AS206" s="90"/>
      <c r="AT206" s="90"/>
      <c r="AU206" s="90"/>
      <c r="AV206" s="90"/>
      <c r="AW206" s="91"/>
      <c r="BC206" s="33"/>
    </row>
    <row r="207" spans="1:55" ht="27" customHeight="1">
      <c r="A207" s="89">
        <f t="shared" si="5"/>
        <v>72</v>
      </c>
      <c r="B207" s="104"/>
      <c r="C207" s="93" t="str">
        <f>C76</f>
        <v>FLOUR PASTE - ADEKA FILLING SHEET (BLUEBERRY) 1.2K</v>
      </c>
      <c r="D207" s="94"/>
      <c r="E207" s="94"/>
      <c r="F207" s="94"/>
      <c r="G207" s="94"/>
      <c r="H207" s="94"/>
      <c r="I207" s="94"/>
      <c r="J207" s="94"/>
      <c r="K207" s="94"/>
      <c r="L207" s="95"/>
      <c r="M207" s="37"/>
      <c r="N207" s="37"/>
      <c r="O207" s="37"/>
      <c r="P207" s="93" t="s">
        <v>110</v>
      </c>
      <c r="Q207" s="94"/>
      <c r="R207" s="94"/>
      <c r="S207" s="95"/>
      <c r="T207" s="43" t="s">
        <v>111</v>
      </c>
      <c r="U207" s="44"/>
      <c r="V207" s="45"/>
      <c r="W207" s="99" t="s">
        <v>112</v>
      </c>
      <c r="X207" s="97"/>
      <c r="Y207" s="97"/>
      <c r="Z207" s="100"/>
      <c r="AA207" s="167" t="s">
        <v>343</v>
      </c>
      <c r="AB207" s="168"/>
      <c r="AC207" s="168"/>
      <c r="AD207" s="168"/>
      <c r="AE207" s="169"/>
      <c r="AF207" s="92" t="s">
        <v>113</v>
      </c>
      <c r="AG207" s="90"/>
      <c r="AH207" s="90"/>
      <c r="AI207" s="90"/>
      <c r="AJ207" s="90"/>
      <c r="AK207" s="90"/>
      <c r="AL207" s="91"/>
      <c r="AM207" s="101">
        <v>46081</v>
      </c>
      <c r="AN207" s="102"/>
      <c r="AO207" s="102"/>
      <c r="AP207" s="103"/>
      <c r="AQ207" s="89" t="s">
        <v>230</v>
      </c>
      <c r="AR207" s="90"/>
      <c r="AS207" s="90"/>
      <c r="AT207" s="90"/>
      <c r="AU207" s="90"/>
      <c r="AV207" s="90"/>
      <c r="AW207" s="91"/>
      <c r="BC207" s="33"/>
    </row>
    <row r="208" spans="1:55" ht="27" customHeight="1">
      <c r="A208" s="89">
        <f t="shared" ref="A208:A247" si="6">1+A207</f>
        <v>73</v>
      </c>
      <c r="B208" s="104"/>
      <c r="C208" s="93" t="str">
        <f>C77</f>
        <v>MATCHA</v>
      </c>
      <c r="D208" s="94"/>
      <c r="E208" s="94"/>
      <c r="F208" s="94"/>
      <c r="G208" s="94"/>
      <c r="H208" s="94"/>
      <c r="I208" s="94"/>
      <c r="J208" s="94"/>
      <c r="K208" s="94"/>
      <c r="L208" s="95"/>
      <c r="M208" s="37"/>
      <c r="N208" s="37"/>
      <c r="O208" s="37"/>
      <c r="P208" s="93" t="s">
        <v>273</v>
      </c>
      <c r="Q208" s="94"/>
      <c r="R208" s="94"/>
      <c r="S208" s="95"/>
      <c r="T208" s="43" t="s">
        <v>272</v>
      </c>
      <c r="U208" s="44"/>
      <c r="V208" s="45"/>
      <c r="W208" s="99" t="s">
        <v>112</v>
      </c>
      <c r="X208" s="97"/>
      <c r="Y208" s="97"/>
      <c r="Z208" s="100"/>
      <c r="AA208" s="167" t="s">
        <v>344</v>
      </c>
      <c r="AB208" s="168"/>
      <c r="AC208" s="168"/>
      <c r="AD208" s="168"/>
      <c r="AE208" s="169"/>
      <c r="AF208" s="92" t="s">
        <v>274</v>
      </c>
      <c r="AG208" s="90"/>
      <c r="AH208" s="90"/>
      <c r="AI208" s="90"/>
      <c r="AJ208" s="90"/>
      <c r="AK208" s="90"/>
      <c r="AL208" s="91"/>
      <c r="AM208" s="101">
        <v>46394</v>
      </c>
      <c r="AN208" s="102"/>
      <c r="AO208" s="102"/>
      <c r="AP208" s="103"/>
      <c r="AQ208" s="89" t="s">
        <v>230</v>
      </c>
      <c r="AR208" s="90"/>
      <c r="AS208" s="90"/>
      <c r="AT208" s="90"/>
      <c r="AU208" s="90"/>
      <c r="AV208" s="90"/>
      <c r="AW208" s="91"/>
      <c r="BC208" s="33"/>
    </row>
    <row r="209" spans="1:55" ht="27" customHeight="1">
      <c r="A209" s="89">
        <f t="shared" si="6"/>
        <v>74</v>
      </c>
      <c r="B209" s="104"/>
      <c r="C209" s="93" t="str">
        <f>C78</f>
        <v>HOJICHA POWDER DARK</v>
      </c>
      <c r="D209" s="94"/>
      <c r="E209" s="94"/>
      <c r="F209" s="94"/>
      <c r="G209" s="94"/>
      <c r="H209" s="94"/>
      <c r="I209" s="94"/>
      <c r="J209" s="94"/>
      <c r="K209" s="94"/>
      <c r="L209" s="95"/>
      <c r="M209" s="37"/>
      <c r="N209" s="37"/>
      <c r="O209" s="37"/>
      <c r="P209" s="93" t="s">
        <v>273</v>
      </c>
      <c r="Q209" s="94"/>
      <c r="R209" s="94"/>
      <c r="S209" s="95"/>
      <c r="T209" s="43" t="s">
        <v>272</v>
      </c>
      <c r="U209" s="44"/>
      <c r="V209" s="45"/>
      <c r="W209" s="99" t="s">
        <v>112</v>
      </c>
      <c r="X209" s="97"/>
      <c r="Y209" s="97"/>
      <c r="Z209" s="100"/>
      <c r="AA209" s="167" t="s">
        <v>344</v>
      </c>
      <c r="AB209" s="168"/>
      <c r="AC209" s="168"/>
      <c r="AD209" s="168"/>
      <c r="AE209" s="169"/>
      <c r="AF209" s="92" t="s">
        <v>274</v>
      </c>
      <c r="AG209" s="90"/>
      <c r="AH209" s="90"/>
      <c r="AI209" s="90"/>
      <c r="AJ209" s="90"/>
      <c r="AK209" s="90"/>
      <c r="AL209" s="91"/>
      <c r="AM209" s="101">
        <v>46394</v>
      </c>
      <c r="AN209" s="102"/>
      <c r="AO209" s="102"/>
      <c r="AP209" s="103"/>
      <c r="AQ209" s="89" t="s">
        <v>230</v>
      </c>
      <c r="AR209" s="90"/>
      <c r="AS209" s="90"/>
      <c r="AT209" s="90"/>
      <c r="AU209" s="90"/>
      <c r="AV209" s="90"/>
      <c r="AW209" s="91"/>
      <c r="BC209" s="33"/>
    </row>
    <row r="210" spans="1:55" ht="27" customHeight="1">
      <c r="A210" s="89">
        <f t="shared" si="6"/>
        <v>75</v>
      </c>
      <c r="B210" s="104"/>
      <c r="C210" s="93" t="str">
        <f>C79</f>
        <v>BLANCHED ALMONDS (CONVENTIONAL/ ORGANIC)</v>
      </c>
      <c r="D210" s="94"/>
      <c r="E210" s="94"/>
      <c r="F210" s="94"/>
      <c r="G210" s="94"/>
      <c r="H210" s="94"/>
      <c r="I210" s="94"/>
      <c r="J210" s="94"/>
      <c r="K210" s="94"/>
      <c r="L210" s="95"/>
      <c r="M210" s="37"/>
      <c r="N210" s="37"/>
      <c r="O210" s="37"/>
      <c r="P210" s="93" t="s">
        <v>277</v>
      </c>
      <c r="Q210" s="94"/>
      <c r="R210" s="94"/>
      <c r="S210" s="95"/>
      <c r="T210" s="43" t="s">
        <v>276</v>
      </c>
      <c r="U210" s="44"/>
      <c r="V210" s="45"/>
      <c r="W210" s="99" t="s">
        <v>112</v>
      </c>
      <c r="X210" s="97"/>
      <c r="Y210" s="97"/>
      <c r="Z210" s="100"/>
      <c r="AA210" s="167"/>
      <c r="AB210" s="168"/>
      <c r="AC210" s="168"/>
      <c r="AD210" s="168"/>
      <c r="AE210" s="169"/>
      <c r="AF210" s="92" t="s">
        <v>275</v>
      </c>
      <c r="AG210" s="90"/>
      <c r="AH210" s="90"/>
      <c r="AI210" s="90"/>
      <c r="AJ210" s="90"/>
      <c r="AK210" s="90"/>
      <c r="AL210" s="91"/>
      <c r="AM210" s="101">
        <v>46175</v>
      </c>
      <c r="AN210" s="102"/>
      <c r="AO210" s="102"/>
      <c r="AP210" s="103"/>
      <c r="AQ210" s="89" t="s">
        <v>230</v>
      </c>
      <c r="AR210" s="90"/>
      <c r="AS210" s="90"/>
      <c r="AT210" s="90"/>
      <c r="AU210" s="90"/>
      <c r="AV210" s="90"/>
      <c r="AW210" s="91"/>
      <c r="BC210" s="33"/>
    </row>
    <row r="211" spans="1:55" ht="27" customHeight="1">
      <c r="A211" s="89">
        <f t="shared" si="6"/>
        <v>76</v>
      </c>
      <c r="B211" s="104"/>
      <c r="C211" s="93" t="str">
        <f>C80</f>
        <v>House Kari Ala Jepang Saus Padat ( Curry Roux )</v>
      </c>
      <c r="D211" s="94"/>
      <c r="E211" s="94"/>
      <c r="F211" s="94"/>
      <c r="G211" s="94"/>
      <c r="H211" s="94"/>
      <c r="I211" s="94"/>
      <c r="J211" s="94"/>
      <c r="K211" s="94"/>
      <c r="L211" s="95"/>
      <c r="M211" s="37"/>
      <c r="N211" s="37"/>
      <c r="O211" s="37"/>
      <c r="P211" s="93" t="s">
        <v>85</v>
      </c>
      <c r="Q211" s="94"/>
      <c r="R211" s="94"/>
      <c r="S211" s="117"/>
      <c r="T211" s="43" t="s">
        <v>82</v>
      </c>
      <c r="U211" s="44"/>
      <c r="V211" s="45"/>
      <c r="W211" s="99" t="s">
        <v>278</v>
      </c>
      <c r="X211" s="97"/>
      <c r="Y211" s="97"/>
      <c r="Z211" s="100"/>
      <c r="AA211" s="96" t="s">
        <v>83</v>
      </c>
      <c r="AB211" s="97"/>
      <c r="AC211" s="97"/>
      <c r="AD211" s="97"/>
      <c r="AE211" s="100"/>
      <c r="AF211" s="108" t="s">
        <v>86</v>
      </c>
      <c r="AG211" s="109"/>
      <c r="AH211" s="109"/>
      <c r="AI211" s="109"/>
      <c r="AJ211" s="109"/>
      <c r="AK211" s="109"/>
      <c r="AL211" s="109"/>
      <c r="AM211" s="110" t="s">
        <v>233</v>
      </c>
      <c r="AN211" s="111"/>
      <c r="AO211" s="111"/>
      <c r="AP211" s="112"/>
      <c r="AQ211" s="89" t="s">
        <v>230</v>
      </c>
      <c r="AR211" s="90"/>
      <c r="AS211" s="90"/>
      <c r="AT211" s="90"/>
      <c r="AU211" s="90"/>
      <c r="AV211" s="90"/>
      <c r="AW211" s="91"/>
      <c r="BC211" s="33"/>
    </row>
    <row r="212" spans="1:55" ht="27" customHeight="1">
      <c r="A212" s="89">
        <f t="shared" si="6"/>
        <v>77</v>
      </c>
      <c r="B212" s="104"/>
      <c r="C212" s="93" t="str">
        <f>C81</f>
        <v>House Kari Ala Jepang (Spicy) Japanese Curry</v>
      </c>
      <c r="D212" s="94"/>
      <c r="E212" s="94"/>
      <c r="F212" s="94"/>
      <c r="G212" s="94"/>
      <c r="H212" s="94"/>
      <c r="I212" s="94"/>
      <c r="J212" s="94"/>
      <c r="K212" s="94"/>
      <c r="L212" s="95"/>
      <c r="M212" s="37"/>
      <c r="N212" s="37"/>
      <c r="O212" s="37"/>
      <c r="P212" s="93" t="s">
        <v>85</v>
      </c>
      <c r="Q212" s="94"/>
      <c r="R212" s="94"/>
      <c r="S212" s="117"/>
      <c r="T212" s="43" t="s">
        <v>82</v>
      </c>
      <c r="U212" s="44"/>
      <c r="V212" s="45"/>
      <c r="W212" s="99" t="s">
        <v>278</v>
      </c>
      <c r="X212" s="97"/>
      <c r="Y212" s="97"/>
      <c r="Z212" s="100"/>
      <c r="AA212" s="96" t="s">
        <v>83</v>
      </c>
      <c r="AB212" s="97"/>
      <c r="AC212" s="97"/>
      <c r="AD212" s="97"/>
      <c r="AE212" s="100"/>
      <c r="AF212" s="108" t="s">
        <v>86</v>
      </c>
      <c r="AG212" s="109"/>
      <c r="AH212" s="109"/>
      <c r="AI212" s="109"/>
      <c r="AJ212" s="109"/>
      <c r="AK212" s="109"/>
      <c r="AL212" s="109"/>
      <c r="AM212" s="110" t="s">
        <v>233</v>
      </c>
      <c r="AN212" s="111"/>
      <c r="AO212" s="111"/>
      <c r="AP212" s="112"/>
      <c r="AQ212" s="89" t="s">
        <v>230</v>
      </c>
      <c r="AR212" s="90"/>
      <c r="AS212" s="90"/>
      <c r="AT212" s="90"/>
      <c r="AU212" s="90"/>
      <c r="AV212" s="90"/>
      <c r="AW212" s="91"/>
      <c r="BC212" s="33"/>
    </row>
    <row r="213" spans="1:55" ht="27" customHeight="1">
      <c r="A213" s="89">
        <f t="shared" si="6"/>
        <v>78</v>
      </c>
      <c r="B213" s="104"/>
      <c r="C213" s="93" t="str">
        <f>C82</f>
        <v>BLUEBERRY SPREAD AND FILLING (OLESAN DAN ISIAN BLUEBERRY</v>
      </c>
      <c r="D213" s="94"/>
      <c r="E213" s="94"/>
      <c r="F213" s="94"/>
      <c r="G213" s="94"/>
      <c r="H213" s="94"/>
      <c r="I213" s="94"/>
      <c r="J213" s="94"/>
      <c r="K213" s="94"/>
      <c r="L213" s="95"/>
      <c r="M213" s="37"/>
      <c r="N213" s="37"/>
      <c r="O213" s="37"/>
      <c r="P213" s="96" t="s">
        <v>292</v>
      </c>
      <c r="Q213" s="97"/>
      <c r="R213" s="97"/>
      <c r="S213" s="98"/>
      <c r="T213" s="43" t="s">
        <v>243</v>
      </c>
      <c r="U213" s="44"/>
      <c r="V213" s="45"/>
      <c r="W213" s="96" t="s">
        <v>292</v>
      </c>
      <c r="X213" s="97"/>
      <c r="Y213" s="97"/>
      <c r="Z213" s="98"/>
      <c r="AA213" s="96" t="s">
        <v>83</v>
      </c>
      <c r="AB213" s="97"/>
      <c r="AC213" s="97"/>
      <c r="AD213" s="97"/>
      <c r="AE213" s="100"/>
      <c r="AF213" s="92" t="s">
        <v>293</v>
      </c>
      <c r="AG213" s="90"/>
      <c r="AH213" s="90"/>
      <c r="AI213" s="90"/>
      <c r="AJ213" s="90"/>
      <c r="AK213" s="90"/>
      <c r="AL213" s="90"/>
      <c r="AM213" s="110" t="s">
        <v>233</v>
      </c>
      <c r="AN213" s="111"/>
      <c r="AO213" s="111"/>
      <c r="AP213" s="112"/>
      <c r="AQ213" s="89" t="s">
        <v>230</v>
      </c>
      <c r="AR213" s="90"/>
      <c r="AS213" s="90"/>
      <c r="AT213" s="90"/>
      <c r="AU213" s="90"/>
      <c r="AV213" s="90"/>
      <c r="AW213" s="91"/>
      <c r="BC213" s="33"/>
    </row>
    <row r="214" spans="1:55" ht="27" customHeight="1">
      <c r="A214" s="89">
        <f t="shared" si="6"/>
        <v>79</v>
      </c>
      <c r="B214" s="104"/>
      <c r="C214" s="93" t="str">
        <f>C83</f>
        <v>PINEAPPLE SPREAD AND FILLING (OLESAN DAN ISIAN NANAS</v>
      </c>
      <c r="D214" s="94"/>
      <c r="E214" s="94"/>
      <c r="F214" s="94"/>
      <c r="G214" s="94"/>
      <c r="H214" s="94"/>
      <c r="I214" s="94"/>
      <c r="J214" s="94"/>
      <c r="K214" s="94"/>
      <c r="L214" s="95"/>
      <c r="M214" s="37"/>
      <c r="N214" s="37"/>
      <c r="O214" s="37"/>
      <c r="P214" s="96" t="s">
        <v>292</v>
      </c>
      <c r="Q214" s="97"/>
      <c r="R214" s="97"/>
      <c r="S214" s="98"/>
      <c r="T214" s="43" t="s">
        <v>243</v>
      </c>
      <c r="U214" s="44"/>
      <c r="V214" s="45"/>
      <c r="W214" s="96" t="s">
        <v>292</v>
      </c>
      <c r="X214" s="97"/>
      <c r="Y214" s="97"/>
      <c r="Z214" s="98"/>
      <c r="AA214" s="96" t="s">
        <v>83</v>
      </c>
      <c r="AB214" s="97"/>
      <c r="AC214" s="97"/>
      <c r="AD214" s="97"/>
      <c r="AE214" s="100"/>
      <c r="AF214" s="92" t="s">
        <v>293</v>
      </c>
      <c r="AG214" s="90"/>
      <c r="AH214" s="90"/>
      <c r="AI214" s="90"/>
      <c r="AJ214" s="90"/>
      <c r="AK214" s="90"/>
      <c r="AL214" s="90"/>
      <c r="AM214" s="110" t="s">
        <v>233</v>
      </c>
      <c r="AN214" s="111"/>
      <c r="AO214" s="111"/>
      <c r="AP214" s="112"/>
      <c r="AQ214" s="89" t="s">
        <v>230</v>
      </c>
      <c r="AR214" s="90"/>
      <c r="AS214" s="90"/>
      <c r="AT214" s="90"/>
      <c r="AU214" s="90"/>
      <c r="AV214" s="90"/>
      <c r="AW214" s="91"/>
      <c r="BC214" s="33"/>
    </row>
    <row r="215" spans="1:55" ht="27" customHeight="1">
      <c r="A215" s="89">
        <f t="shared" si="6"/>
        <v>80</v>
      </c>
      <c r="B215" s="104"/>
      <c r="C215" s="93" t="str">
        <f>C84</f>
        <v>STRAWBERRY SWEET SAUCE (SAUS MANIS STROBERI)</v>
      </c>
      <c r="D215" s="94"/>
      <c r="E215" s="94"/>
      <c r="F215" s="94"/>
      <c r="G215" s="94"/>
      <c r="H215" s="94"/>
      <c r="I215" s="94"/>
      <c r="J215" s="94"/>
      <c r="K215" s="94"/>
      <c r="L215" s="95"/>
      <c r="M215" s="37"/>
      <c r="N215" s="37"/>
      <c r="O215" s="37"/>
      <c r="P215" s="96" t="s">
        <v>292</v>
      </c>
      <c r="Q215" s="97"/>
      <c r="R215" s="97"/>
      <c r="S215" s="98"/>
      <c r="T215" s="43" t="s">
        <v>243</v>
      </c>
      <c r="U215" s="44"/>
      <c r="V215" s="45"/>
      <c r="W215" s="96" t="s">
        <v>292</v>
      </c>
      <c r="X215" s="97"/>
      <c r="Y215" s="97"/>
      <c r="Z215" s="98"/>
      <c r="AA215" s="96" t="s">
        <v>83</v>
      </c>
      <c r="AB215" s="97"/>
      <c r="AC215" s="97"/>
      <c r="AD215" s="97"/>
      <c r="AE215" s="100"/>
      <c r="AF215" s="92" t="s">
        <v>293</v>
      </c>
      <c r="AG215" s="90"/>
      <c r="AH215" s="90"/>
      <c r="AI215" s="90"/>
      <c r="AJ215" s="90"/>
      <c r="AK215" s="90"/>
      <c r="AL215" s="90"/>
      <c r="AM215" s="110" t="s">
        <v>233</v>
      </c>
      <c r="AN215" s="111"/>
      <c r="AO215" s="111"/>
      <c r="AP215" s="112"/>
      <c r="AQ215" s="89" t="s">
        <v>230</v>
      </c>
      <c r="AR215" s="90"/>
      <c r="AS215" s="90"/>
      <c r="AT215" s="90"/>
      <c r="AU215" s="90"/>
      <c r="AV215" s="90"/>
      <c r="AW215" s="91"/>
      <c r="BC215" s="33"/>
    </row>
    <row r="216" spans="1:55" ht="27" customHeight="1">
      <c r="A216" s="89">
        <f t="shared" si="6"/>
        <v>81</v>
      </c>
      <c r="B216" s="104"/>
      <c r="C216" s="93" t="str">
        <f>C85</f>
        <v>TIRAMISU FLAVOR GLAZE (PELAPIS RASA TIRAMISU)</v>
      </c>
      <c r="D216" s="94"/>
      <c r="E216" s="94"/>
      <c r="F216" s="94"/>
      <c r="G216" s="94"/>
      <c r="H216" s="94"/>
      <c r="I216" s="94"/>
      <c r="J216" s="94"/>
      <c r="K216" s="94"/>
      <c r="L216" s="95"/>
      <c r="M216" s="37"/>
      <c r="N216" s="37"/>
      <c r="O216" s="37"/>
      <c r="P216" s="96" t="s">
        <v>292</v>
      </c>
      <c r="Q216" s="97"/>
      <c r="R216" s="97"/>
      <c r="S216" s="98"/>
      <c r="T216" s="43" t="s">
        <v>243</v>
      </c>
      <c r="U216" s="44"/>
      <c r="V216" s="45"/>
      <c r="W216" s="96" t="s">
        <v>292</v>
      </c>
      <c r="X216" s="97"/>
      <c r="Y216" s="97"/>
      <c r="Z216" s="98"/>
      <c r="AA216" s="96" t="s">
        <v>83</v>
      </c>
      <c r="AB216" s="97"/>
      <c r="AC216" s="97"/>
      <c r="AD216" s="97"/>
      <c r="AE216" s="100"/>
      <c r="AF216" s="92" t="s">
        <v>293</v>
      </c>
      <c r="AG216" s="90"/>
      <c r="AH216" s="90"/>
      <c r="AI216" s="90"/>
      <c r="AJ216" s="90"/>
      <c r="AK216" s="90"/>
      <c r="AL216" s="90"/>
      <c r="AM216" s="110" t="s">
        <v>233</v>
      </c>
      <c r="AN216" s="111"/>
      <c r="AO216" s="111"/>
      <c r="AP216" s="112"/>
      <c r="AQ216" s="89" t="s">
        <v>230</v>
      </c>
      <c r="AR216" s="90"/>
      <c r="AS216" s="90"/>
      <c r="AT216" s="90"/>
      <c r="AU216" s="90"/>
      <c r="AV216" s="90"/>
      <c r="AW216" s="91"/>
      <c r="BC216" s="33"/>
    </row>
    <row r="217" spans="1:55" ht="27" customHeight="1">
      <c r="A217" s="89">
        <f t="shared" si="6"/>
        <v>82</v>
      </c>
      <c r="B217" s="104"/>
      <c r="C217" s="93" t="str">
        <f>C86</f>
        <v>MILK GLAZE (PELAPIS SUSU)</v>
      </c>
      <c r="D217" s="94"/>
      <c r="E217" s="94"/>
      <c r="F217" s="94"/>
      <c r="G217" s="94"/>
      <c r="H217" s="94"/>
      <c r="I217" s="94"/>
      <c r="J217" s="94"/>
      <c r="K217" s="94"/>
      <c r="L217" s="95"/>
      <c r="M217" s="37"/>
      <c r="N217" s="37"/>
      <c r="O217" s="37"/>
      <c r="P217" s="96" t="s">
        <v>292</v>
      </c>
      <c r="Q217" s="97"/>
      <c r="R217" s="97"/>
      <c r="S217" s="98"/>
      <c r="T217" s="43" t="s">
        <v>243</v>
      </c>
      <c r="U217" s="44"/>
      <c r="V217" s="45"/>
      <c r="W217" s="96" t="s">
        <v>292</v>
      </c>
      <c r="X217" s="97"/>
      <c r="Y217" s="97"/>
      <c r="Z217" s="98"/>
      <c r="AA217" s="96" t="s">
        <v>83</v>
      </c>
      <c r="AB217" s="97"/>
      <c r="AC217" s="97"/>
      <c r="AD217" s="97"/>
      <c r="AE217" s="100"/>
      <c r="AF217" s="92" t="s">
        <v>293</v>
      </c>
      <c r="AG217" s="90"/>
      <c r="AH217" s="90"/>
      <c r="AI217" s="90"/>
      <c r="AJ217" s="90"/>
      <c r="AK217" s="90"/>
      <c r="AL217" s="90"/>
      <c r="AM217" s="110" t="s">
        <v>233</v>
      </c>
      <c r="AN217" s="111"/>
      <c r="AO217" s="111"/>
      <c r="AP217" s="112"/>
      <c r="AQ217" s="89" t="s">
        <v>230</v>
      </c>
      <c r="AR217" s="90"/>
      <c r="AS217" s="90"/>
      <c r="AT217" s="90"/>
      <c r="AU217" s="90"/>
      <c r="AV217" s="90"/>
      <c r="AW217" s="91"/>
      <c r="BC217" s="33"/>
    </row>
    <row r="218" spans="1:55" ht="27" customHeight="1">
      <c r="A218" s="89">
        <f t="shared" si="6"/>
        <v>83</v>
      </c>
      <c r="B218" s="104"/>
      <c r="C218" s="93" t="str">
        <f>C87</f>
        <v>SHEET-CTD-CHOCOLATE_PRM</v>
      </c>
      <c r="D218" s="94"/>
      <c r="E218" s="94"/>
      <c r="F218" s="94"/>
      <c r="G218" s="94"/>
      <c r="H218" s="94"/>
      <c r="I218" s="94"/>
      <c r="J218" s="94"/>
      <c r="K218" s="94"/>
      <c r="L218" s="95"/>
      <c r="M218" s="37"/>
      <c r="N218" s="37"/>
      <c r="O218" s="37"/>
      <c r="P218" s="96" t="s">
        <v>292</v>
      </c>
      <c r="Q218" s="97"/>
      <c r="R218" s="97"/>
      <c r="S218" s="98"/>
      <c r="T218" s="43" t="s">
        <v>243</v>
      </c>
      <c r="U218" s="44"/>
      <c r="V218" s="45"/>
      <c r="W218" s="96" t="s">
        <v>292</v>
      </c>
      <c r="X218" s="97"/>
      <c r="Y218" s="97"/>
      <c r="Z218" s="98"/>
      <c r="AA218" s="96" t="s">
        <v>83</v>
      </c>
      <c r="AB218" s="97"/>
      <c r="AC218" s="97"/>
      <c r="AD218" s="97"/>
      <c r="AE218" s="100"/>
      <c r="AF218" s="92" t="s">
        <v>293</v>
      </c>
      <c r="AG218" s="90"/>
      <c r="AH218" s="90"/>
      <c r="AI218" s="90"/>
      <c r="AJ218" s="90"/>
      <c r="AK218" s="90"/>
      <c r="AL218" s="90"/>
      <c r="AM218" s="110" t="s">
        <v>233</v>
      </c>
      <c r="AN218" s="111"/>
      <c r="AO218" s="111"/>
      <c r="AP218" s="112"/>
      <c r="AQ218" s="89" t="s">
        <v>230</v>
      </c>
      <c r="AR218" s="90"/>
      <c r="AS218" s="90"/>
      <c r="AT218" s="90"/>
      <c r="AU218" s="90"/>
      <c r="AV218" s="90"/>
      <c r="AW218" s="91"/>
      <c r="BC218" s="33"/>
    </row>
    <row r="219" spans="1:55" ht="27" customHeight="1">
      <c r="A219" s="89">
        <f t="shared" si="6"/>
        <v>84</v>
      </c>
      <c r="B219" s="104"/>
      <c r="C219" s="93" t="str">
        <f>C88</f>
        <v>SHEET-CTD-CHEESE</v>
      </c>
      <c r="D219" s="94"/>
      <c r="E219" s="94"/>
      <c r="F219" s="94"/>
      <c r="G219" s="94"/>
      <c r="H219" s="94"/>
      <c r="I219" s="94"/>
      <c r="J219" s="94"/>
      <c r="K219" s="94"/>
      <c r="L219" s="95"/>
      <c r="M219" s="37"/>
      <c r="N219" s="37"/>
      <c r="O219" s="37"/>
      <c r="P219" s="96" t="s">
        <v>292</v>
      </c>
      <c r="Q219" s="97"/>
      <c r="R219" s="97"/>
      <c r="S219" s="98"/>
      <c r="T219" s="43" t="s">
        <v>243</v>
      </c>
      <c r="U219" s="44"/>
      <c r="V219" s="45"/>
      <c r="W219" s="96" t="s">
        <v>292</v>
      </c>
      <c r="X219" s="97"/>
      <c r="Y219" s="97"/>
      <c r="Z219" s="98"/>
      <c r="AA219" s="96" t="s">
        <v>83</v>
      </c>
      <c r="AB219" s="97"/>
      <c r="AC219" s="97"/>
      <c r="AD219" s="97"/>
      <c r="AE219" s="100"/>
      <c r="AF219" s="92" t="s">
        <v>293</v>
      </c>
      <c r="AG219" s="90"/>
      <c r="AH219" s="90"/>
      <c r="AI219" s="90"/>
      <c r="AJ219" s="90"/>
      <c r="AK219" s="90"/>
      <c r="AL219" s="90"/>
      <c r="AM219" s="110" t="s">
        <v>233</v>
      </c>
      <c r="AN219" s="111"/>
      <c r="AO219" s="111"/>
      <c r="AP219" s="112"/>
      <c r="AQ219" s="89" t="s">
        <v>230</v>
      </c>
      <c r="AR219" s="90"/>
      <c r="AS219" s="90"/>
      <c r="AT219" s="90"/>
      <c r="AU219" s="90"/>
      <c r="AV219" s="90"/>
      <c r="AW219" s="91"/>
      <c r="BC219" s="33"/>
    </row>
    <row r="220" spans="1:55" ht="27" customHeight="1">
      <c r="A220" s="89">
        <f t="shared" si="6"/>
        <v>85</v>
      </c>
      <c r="B220" s="104"/>
      <c r="C220" s="93" t="str">
        <f>C89</f>
        <v>SHEET-CTD-PANDAN FLAVOR</v>
      </c>
      <c r="D220" s="94"/>
      <c r="E220" s="94"/>
      <c r="F220" s="94"/>
      <c r="G220" s="94"/>
      <c r="H220" s="94"/>
      <c r="I220" s="94"/>
      <c r="J220" s="94"/>
      <c r="K220" s="94"/>
      <c r="L220" s="95"/>
      <c r="M220" s="37"/>
      <c r="N220" s="37"/>
      <c r="O220" s="37"/>
      <c r="P220" s="96" t="s">
        <v>292</v>
      </c>
      <c r="Q220" s="97"/>
      <c r="R220" s="97"/>
      <c r="S220" s="98"/>
      <c r="T220" s="43" t="s">
        <v>243</v>
      </c>
      <c r="U220" s="44"/>
      <c r="V220" s="45"/>
      <c r="W220" s="96" t="s">
        <v>292</v>
      </c>
      <c r="X220" s="97"/>
      <c r="Y220" s="97"/>
      <c r="Z220" s="98"/>
      <c r="AA220" s="96" t="s">
        <v>83</v>
      </c>
      <c r="AB220" s="97"/>
      <c r="AC220" s="97"/>
      <c r="AD220" s="97"/>
      <c r="AE220" s="100"/>
      <c r="AF220" s="92" t="s">
        <v>293</v>
      </c>
      <c r="AG220" s="90"/>
      <c r="AH220" s="90"/>
      <c r="AI220" s="90"/>
      <c r="AJ220" s="90"/>
      <c r="AK220" s="90"/>
      <c r="AL220" s="90"/>
      <c r="AM220" s="110" t="s">
        <v>233</v>
      </c>
      <c r="AN220" s="111"/>
      <c r="AO220" s="111"/>
      <c r="AP220" s="112"/>
      <c r="AQ220" s="89" t="s">
        <v>230</v>
      </c>
      <c r="AR220" s="90"/>
      <c r="AS220" s="90"/>
      <c r="AT220" s="90"/>
      <c r="AU220" s="90"/>
      <c r="AV220" s="90"/>
      <c r="AW220" s="91"/>
      <c r="BC220" s="33"/>
    </row>
    <row r="221" spans="1:55" ht="27" customHeight="1">
      <c r="A221" s="89">
        <f t="shared" si="6"/>
        <v>86</v>
      </c>
      <c r="B221" s="104"/>
      <c r="C221" s="93" t="str">
        <f>C90</f>
        <v>SHEET-CTD - MATCHA PRM</v>
      </c>
      <c r="D221" s="94"/>
      <c r="E221" s="94"/>
      <c r="F221" s="94"/>
      <c r="G221" s="94"/>
      <c r="H221" s="94"/>
      <c r="I221" s="94"/>
      <c r="J221" s="94"/>
      <c r="K221" s="94"/>
      <c r="L221" s="95"/>
      <c r="M221" s="37"/>
      <c r="N221" s="37"/>
      <c r="O221" s="37"/>
      <c r="P221" s="96" t="s">
        <v>292</v>
      </c>
      <c r="Q221" s="97"/>
      <c r="R221" s="97"/>
      <c r="S221" s="98"/>
      <c r="T221" s="43" t="s">
        <v>243</v>
      </c>
      <c r="U221" s="44"/>
      <c r="V221" s="45"/>
      <c r="W221" s="96" t="s">
        <v>292</v>
      </c>
      <c r="X221" s="97"/>
      <c r="Y221" s="97"/>
      <c r="Z221" s="98"/>
      <c r="AA221" s="96" t="s">
        <v>83</v>
      </c>
      <c r="AB221" s="97"/>
      <c r="AC221" s="97"/>
      <c r="AD221" s="97"/>
      <c r="AE221" s="100"/>
      <c r="AF221" s="92" t="s">
        <v>293</v>
      </c>
      <c r="AG221" s="90"/>
      <c r="AH221" s="90"/>
      <c r="AI221" s="90"/>
      <c r="AJ221" s="90"/>
      <c r="AK221" s="90"/>
      <c r="AL221" s="90"/>
      <c r="AM221" s="110" t="s">
        <v>233</v>
      </c>
      <c r="AN221" s="111"/>
      <c r="AO221" s="111"/>
      <c r="AP221" s="112"/>
      <c r="AQ221" s="89" t="s">
        <v>230</v>
      </c>
      <c r="AR221" s="90"/>
      <c r="AS221" s="90"/>
      <c r="AT221" s="90"/>
      <c r="AU221" s="90"/>
      <c r="AV221" s="90"/>
      <c r="AW221" s="91"/>
      <c r="BC221" s="33"/>
    </row>
    <row r="222" spans="1:55" ht="27" customHeight="1">
      <c r="A222" s="89">
        <f t="shared" si="6"/>
        <v>87</v>
      </c>
      <c r="B222" s="104"/>
      <c r="C222" s="93" t="str">
        <f>C91</f>
        <v>SHEET-CTD-TARO FLAVOR</v>
      </c>
      <c r="D222" s="94"/>
      <c r="E222" s="94"/>
      <c r="F222" s="94"/>
      <c r="G222" s="94"/>
      <c r="H222" s="94"/>
      <c r="I222" s="94"/>
      <c r="J222" s="94"/>
      <c r="K222" s="94"/>
      <c r="L222" s="95"/>
      <c r="M222" s="37"/>
      <c r="N222" s="37"/>
      <c r="O222" s="37"/>
      <c r="P222" s="96" t="s">
        <v>292</v>
      </c>
      <c r="Q222" s="97"/>
      <c r="R222" s="97"/>
      <c r="S222" s="98"/>
      <c r="T222" s="43" t="s">
        <v>243</v>
      </c>
      <c r="U222" s="44"/>
      <c r="V222" s="45"/>
      <c r="W222" s="96" t="s">
        <v>292</v>
      </c>
      <c r="X222" s="97"/>
      <c r="Y222" s="97"/>
      <c r="Z222" s="98"/>
      <c r="AA222" s="96" t="s">
        <v>83</v>
      </c>
      <c r="AB222" s="97"/>
      <c r="AC222" s="97"/>
      <c r="AD222" s="97"/>
      <c r="AE222" s="100"/>
      <c r="AF222" s="92" t="s">
        <v>293</v>
      </c>
      <c r="AG222" s="90"/>
      <c r="AH222" s="90"/>
      <c r="AI222" s="90"/>
      <c r="AJ222" s="90"/>
      <c r="AK222" s="90"/>
      <c r="AL222" s="90"/>
      <c r="AM222" s="110" t="s">
        <v>233</v>
      </c>
      <c r="AN222" s="111"/>
      <c r="AO222" s="111"/>
      <c r="AP222" s="112"/>
      <c r="AQ222" s="89" t="s">
        <v>230</v>
      </c>
      <c r="AR222" s="90"/>
      <c r="AS222" s="90"/>
      <c r="AT222" s="90"/>
      <c r="AU222" s="90"/>
      <c r="AV222" s="90"/>
      <c r="AW222" s="91"/>
      <c r="BC222" s="33"/>
    </row>
    <row r="223" spans="1:55" ht="27" customHeight="1">
      <c r="A223" s="89">
        <f t="shared" si="6"/>
        <v>88</v>
      </c>
      <c r="B223" s="104"/>
      <c r="C223" s="93" t="str">
        <f>C92</f>
        <v>SHEET-CTD-STRAWBERRY FLAVOR</v>
      </c>
      <c r="D223" s="94"/>
      <c r="E223" s="94"/>
      <c r="F223" s="94"/>
      <c r="G223" s="94"/>
      <c r="H223" s="94"/>
      <c r="I223" s="94"/>
      <c r="J223" s="94"/>
      <c r="K223" s="94"/>
      <c r="L223" s="95"/>
      <c r="M223" s="37"/>
      <c r="N223" s="37"/>
      <c r="O223" s="37"/>
      <c r="P223" s="96" t="s">
        <v>292</v>
      </c>
      <c r="Q223" s="97"/>
      <c r="R223" s="97"/>
      <c r="S223" s="98"/>
      <c r="T223" s="43" t="s">
        <v>243</v>
      </c>
      <c r="U223" s="44"/>
      <c r="V223" s="45"/>
      <c r="W223" s="96" t="s">
        <v>292</v>
      </c>
      <c r="X223" s="97"/>
      <c r="Y223" s="97"/>
      <c r="Z223" s="98"/>
      <c r="AA223" s="96" t="s">
        <v>83</v>
      </c>
      <c r="AB223" s="97"/>
      <c r="AC223" s="97"/>
      <c r="AD223" s="97"/>
      <c r="AE223" s="100"/>
      <c r="AF223" s="92" t="s">
        <v>293</v>
      </c>
      <c r="AG223" s="90"/>
      <c r="AH223" s="90"/>
      <c r="AI223" s="90"/>
      <c r="AJ223" s="90"/>
      <c r="AK223" s="90"/>
      <c r="AL223" s="90"/>
      <c r="AM223" s="110" t="s">
        <v>233</v>
      </c>
      <c r="AN223" s="111"/>
      <c r="AO223" s="111"/>
      <c r="AP223" s="112"/>
      <c r="AQ223" s="89" t="s">
        <v>230</v>
      </c>
      <c r="AR223" s="90"/>
      <c r="AS223" s="90"/>
      <c r="AT223" s="90"/>
      <c r="AU223" s="90"/>
      <c r="AV223" s="90"/>
      <c r="AW223" s="91"/>
      <c r="BC223" s="33"/>
    </row>
    <row r="224" spans="1:55" ht="27" customHeight="1">
      <c r="A224" s="89">
        <f t="shared" si="6"/>
        <v>89</v>
      </c>
      <c r="B224" s="104"/>
      <c r="C224" s="93" t="str">
        <f>C93</f>
        <v>ROLLED OATS</v>
      </c>
      <c r="D224" s="94"/>
      <c r="E224" s="94"/>
      <c r="F224" s="94"/>
      <c r="G224" s="94"/>
      <c r="H224" s="94"/>
      <c r="I224" s="94"/>
      <c r="J224" s="94"/>
      <c r="K224" s="94"/>
      <c r="L224" s="95"/>
      <c r="M224" s="37"/>
      <c r="N224" s="37"/>
      <c r="O224" s="37"/>
      <c r="P224" s="96" t="s">
        <v>295</v>
      </c>
      <c r="Q224" s="97"/>
      <c r="R224" s="97"/>
      <c r="S224" s="98"/>
      <c r="T224" s="43" t="s">
        <v>296</v>
      </c>
      <c r="U224" s="44"/>
      <c r="V224" s="45"/>
      <c r="W224" s="99" t="s">
        <v>297</v>
      </c>
      <c r="X224" s="97"/>
      <c r="Y224" s="97"/>
      <c r="Z224" s="100"/>
      <c r="AA224" s="167" t="s">
        <v>298</v>
      </c>
      <c r="AB224" s="168"/>
      <c r="AC224" s="168"/>
      <c r="AD224" s="168"/>
      <c r="AE224" s="169"/>
      <c r="AF224" s="92" t="s">
        <v>299</v>
      </c>
      <c r="AG224" s="90"/>
      <c r="AH224" s="90"/>
      <c r="AI224" s="90"/>
      <c r="AJ224" s="90"/>
      <c r="AK224" s="90"/>
      <c r="AL224" s="90"/>
      <c r="AM224" s="101">
        <v>46501</v>
      </c>
      <c r="AN224" s="102"/>
      <c r="AO224" s="102"/>
      <c r="AP224" s="103"/>
      <c r="AQ224" s="89" t="s">
        <v>230</v>
      </c>
      <c r="AR224" s="90"/>
      <c r="AS224" s="90"/>
      <c r="AT224" s="90"/>
      <c r="AU224" s="90"/>
      <c r="AV224" s="90"/>
      <c r="AW224" s="91"/>
      <c r="BC224" s="33"/>
    </row>
    <row r="225" spans="1:55" ht="27" customHeight="1">
      <c r="A225" s="89">
        <f t="shared" si="6"/>
        <v>90</v>
      </c>
      <c r="B225" s="104"/>
      <c r="C225" s="93" t="str">
        <f>C94</f>
        <v>IQF 3-WAYS MIXED VEGETABLE FROZEN VEGETABLE ( SAYURAN BEKU )</v>
      </c>
      <c r="D225" s="94"/>
      <c r="E225" s="94"/>
      <c r="F225" s="94"/>
      <c r="G225" s="94"/>
      <c r="H225" s="94"/>
      <c r="I225" s="94"/>
      <c r="J225" s="94"/>
      <c r="K225" s="94"/>
      <c r="L225" s="95"/>
      <c r="M225" s="37"/>
      <c r="N225" s="37"/>
      <c r="O225" s="37"/>
      <c r="P225" s="96" t="s">
        <v>303</v>
      </c>
      <c r="Q225" s="97"/>
      <c r="R225" s="97"/>
      <c r="S225" s="98"/>
      <c r="T225" s="43" t="s">
        <v>304</v>
      </c>
      <c r="U225" s="44"/>
      <c r="V225" s="45"/>
      <c r="W225" s="99" t="s">
        <v>305</v>
      </c>
      <c r="X225" s="97"/>
      <c r="Y225" s="97"/>
      <c r="Z225" s="100"/>
      <c r="AA225" s="167" t="s">
        <v>314</v>
      </c>
      <c r="AB225" s="168"/>
      <c r="AC225" s="168"/>
      <c r="AD225" s="168"/>
      <c r="AE225" s="169"/>
      <c r="AF225" s="92" t="s">
        <v>306</v>
      </c>
      <c r="AG225" s="90"/>
      <c r="AH225" s="90"/>
      <c r="AI225" s="90"/>
      <c r="AJ225" s="90"/>
      <c r="AK225" s="90"/>
      <c r="AL225" s="90"/>
      <c r="AM225" s="101">
        <v>46208</v>
      </c>
      <c r="AN225" s="102"/>
      <c r="AO225" s="102"/>
      <c r="AP225" s="103"/>
      <c r="AQ225" s="89" t="s">
        <v>230</v>
      </c>
      <c r="AR225" s="90"/>
      <c r="AS225" s="90"/>
      <c r="AT225" s="90"/>
      <c r="AU225" s="90"/>
      <c r="AV225" s="90"/>
      <c r="AW225" s="91"/>
      <c r="BC225" s="33"/>
    </row>
    <row r="226" spans="1:55" ht="27" customHeight="1">
      <c r="A226" s="89">
        <f t="shared" si="6"/>
        <v>91</v>
      </c>
      <c r="B226" s="104"/>
      <c r="C226" s="93" t="str">
        <f>C95</f>
        <v>IQF SWEET CORN KERNEL FROZEN VEGETABLE ( SAYURAN BEKU )</v>
      </c>
      <c r="D226" s="94"/>
      <c r="E226" s="94"/>
      <c r="F226" s="94"/>
      <c r="G226" s="94"/>
      <c r="H226" s="94"/>
      <c r="I226" s="94"/>
      <c r="J226" s="94"/>
      <c r="K226" s="94"/>
      <c r="L226" s="95"/>
      <c r="M226" s="37"/>
      <c r="N226" s="37"/>
      <c r="O226" s="37"/>
      <c r="P226" s="96" t="s">
        <v>303</v>
      </c>
      <c r="Q226" s="97"/>
      <c r="R226" s="97"/>
      <c r="S226" s="98"/>
      <c r="T226" s="43" t="s">
        <v>304</v>
      </c>
      <c r="U226" s="44"/>
      <c r="V226" s="45"/>
      <c r="W226" s="99" t="s">
        <v>305</v>
      </c>
      <c r="X226" s="97"/>
      <c r="Y226" s="97"/>
      <c r="Z226" s="100"/>
      <c r="AA226" s="167" t="s">
        <v>314</v>
      </c>
      <c r="AB226" s="168"/>
      <c r="AC226" s="168"/>
      <c r="AD226" s="168"/>
      <c r="AE226" s="169"/>
      <c r="AF226" s="92" t="s">
        <v>306</v>
      </c>
      <c r="AG226" s="90"/>
      <c r="AH226" s="90"/>
      <c r="AI226" s="90"/>
      <c r="AJ226" s="90"/>
      <c r="AK226" s="90"/>
      <c r="AL226" s="90"/>
      <c r="AM226" s="101">
        <v>46208</v>
      </c>
      <c r="AN226" s="102"/>
      <c r="AO226" s="102"/>
      <c r="AP226" s="103"/>
      <c r="AQ226" s="89" t="s">
        <v>230</v>
      </c>
      <c r="AR226" s="90"/>
      <c r="AS226" s="90"/>
      <c r="AT226" s="90"/>
      <c r="AU226" s="90"/>
      <c r="AV226" s="90"/>
      <c r="AW226" s="91"/>
      <c r="BC226" s="33"/>
    </row>
    <row r="227" spans="1:55" ht="27" customHeight="1">
      <c r="A227" s="89">
        <f t="shared" si="6"/>
        <v>92</v>
      </c>
      <c r="B227" s="104"/>
      <c r="C227" s="93" t="str">
        <f>C96</f>
        <v>IQF SWEET DICED CARROT FROZEN VEGETABLE ( SAYURAN BEKU )</v>
      </c>
      <c r="D227" s="94"/>
      <c r="E227" s="94"/>
      <c r="F227" s="94"/>
      <c r="G227" s="94"/>
      <c r="H227" s="94"/>
      <c r="I227" s="94"/>
      <c r="J227" s="94"/>
      <c r="K227" s="94"/>
      <c r="L227" s="95"/>
      <c r="M227" s="37"/>
      <c r="N227" s="37"/>
      <c r="O227" s="37"/>
      <c r="P227" s="96" t="s">
        <v>303</v>
      </c>
      <c r="Q227" s="97"/>
      <c r="R227" s="97"/>
      <c r="S227" s="98"/>
      <c r="T227" s="43" t="s">
        <v>304</v>
      </c>
      <c r="U227" s="44"/>
      <c r="V227" s="45"/>
      <c r="W227" s="99" t="s">
        <v>305</v>
      </c>
      <c r="X227" s="97"/>
      <c r="Y227" s="97"/>
      <c r="Z227" s="100"/>
      <c r="AA227" s="167" t="s">
        <v>314</v>
      </c>
      <c r="AB227" s="168"/>
      <c r="AC227" s="168"/>
      <c r="AD227" s="168"/>
      <c r="AE227" s="169"/>
      <c r="AF227" s="92" t="s">
        <v>306</v>
      </c>
      <c r="AG227" s="90"/>
      <c r="AH227" s="90"/>
      <c r="AI227" s="90"/>
      <c r="AJ227" s="90"/>
      <c r="AK227" s="90"/>
      <c r="AL227" s="90"/>
      <c r="AM227" s="101">
        <v>46208</v>
      </c>
      <c r="AN227" s="102"/>
      <c r="AO227" s="102"/>
      <c r="AP227" s="103"/>
      <c r="AQ227" s="89" t="s">
        <v>230</v>
      </c>
      <c r="AR227" s="90"/>
      <c r="AS227" s="90"/>
      <c r="AT227" s="90"/>
      <c r="AU227" s="90"/>
      <c r="AV227" s="90"/>
      <c r="AW227" s="91"/>
      <c r="BC227" s="33"/>
    </row>
    <row r="228" spans="1:55" ht="27" customHeight="1">
      <c r="A228" s="89">
        <f t="shared" si="6"/>
        <v>93</v>
      </c>
      <c r="B228" s="104"/>
      <c r="C228" s="93" t="str">
        <f>C97</f>
        <v>KANEKA MARGARINE SHEET 25 G</v>
      </c>
      <c r="D228" s="94"/>
      <c r="E228" s="94"/>
      <c r="F228" s="94"/>
      <c r="G228" s="94"/>
      <c r="H228" s="94"/>
      <c r="I228" s="94"/>
      <c r="J228" s="94"/>
      <c r="K228" s="94"/>
      <c r="L228" s="95"/>
      <c r="M228" s="37"/>
      <c r="N228" s="37"/>
      <c r="O228" s="37"/>
      <c r="P228" s="96" t="s">
        <v>137</v>
      </c>
      <c r="Q228" s="97"/>
      <c r="R228" s="97"/>
      <c r="S228" s="98"/>
      <c r="T228" s="43" t="s">
        <v>243</v>
      </c>
      <c r="U228" s="44"/>
      <c r="V228" s="45"/>
      <c r="W228" s="96" t="s">
        <v>137</v>
      </c>
      <c r="X228" s="97"/>
      <c r="Y228" s="97"/>
      <c r="Z228" s="98"/>
      <c r="AA228" s="96" t="s">
        <v>83</v>
      </c>
      <c r="AB228" s="97"/>
      <c r="AC228" s="97"/>
      <c r="AD228" s="97"/>
      <c r="AE228" s="100"/>
      <c r="AF228" s="92" t="s">
        <v>310</v>
      </c>
      <c r="AG228" s="90"/>
      <c r="AH228" s="90"/>
      <c r="AI228" s="90"/>
      <c r="AJ228" s="90"/>
      <c r="AK228" s="90"/>
      <c r="AL228" s="90"/>
      <c r="AM228" s="101">
        <v>46343</v>
      </c>
      <c r="AN228" s="102"/>
      <c r="AO228" s="102"/>
      <c r="AP228" s="103"/>
      <c r="AQ228" s="89" t="s">
        <v>230</v>
      </c>
      <c r="AR228" s="90"/>
      <c r="AS228" s="90"/>
      <c r="AT228" s="90"/>
      <c r="AU228" s="90"/>
      <c r="AV228" s="90"/>
      <c r="AW228" s="91"/>
      <c r="BC228" s="33"/>
    </row>
    <row r="229" spans="1:55" ht="27" customHeight="1">
      <c r="A229" s="89">
        <f t="shared" si="6"/>
        <v>94</v>
      </c>
      <c r="B229" s="104"/>
      <c r="C229" s="93" t="str">
        <f>C98</f>
        <v>KANEKA WHIPPING CREAM C Z GM 2</v>
      </c>
      <c r="D229" s="94"/>
      <c r="E229" s="94"/>
      <c r="F229" s="94"/>
      <c r="G229" s="94"/>
      <c r="H229" s="94"/>
      <c r="I229" s="94"/>
      <c r="J229" s="94"/>
      <c r="K229" s="94"/>
      <c r="L229" s="95"/>
      <c r="M229" s="37"/>
      <c r="N229" s="37"/>
      <c r="O229" s="37"/>
      <c r="P229" s="96" t="s">
        <v>137</v>
      </c>
      <c r="Q229" s="97"/>
      <c r="R229" s="97"/>
      <c r="S229" s="98"/>
      <c r="T229" s="43" t="s">
        <v>243</v>
      </c>
      <c r="U229" s="44"/>
      <c r="V229" s="45"/>
      <c r="W229" s="96" t="s">
        <v>137</v>
      </c>
      <c r="X229" s="97"/>
      <c r="Y229" s="97"/>
      <c r="Z229" s="98"/>
      <c r="AA229" s="96" t="s">
        <v>83</v>
      </c>
      <c r="AB229" s="97"/>
      <c r="AC229" s="97"/>
      <c r="AD229" s="97"/>
      <c r="AE229" s="100"/>
      <c r="AF229" s="92" t="s">
        <v>310</v>
      </c>
      <c r="AG229" s="90"/>
      <c r="AH229" s="90"/>
      <c r="AI229" s="90"/>
      <c r="AJ229" s="90"/>
      <c r="AK229" s="90"/>
      <c r="AL229" s="90"/>
      <c r="AM229" s="101">
        <v>46343</v>
      </c>
      <c r="AN229" s="102"/>
      <c r="AO229" s="102"/>
      <c r="AP229" s="103"/>
      <c r="AQ229" s="89" t="s">
        <v>230</v>
      </c>
      <c r="AR229" s="90"/>
      <c r="AS229" s="90"/>
      <c r="AT229" s="90"/>
      <c r="AU229" s="90"/>
      <c r="AV229" s="90"/>
      <c r="AW229" s="91"/>
      <c r="BC229" s="33"/>
    </row>
    <row r="230" spans="1:55" ht="27" customHeight="1">
      <c r="A230" s="89">
        <f t="shared" si="6"/>
        <v>95</v>
      </c>
      <c r="B230" s="104"/>
      <c r="C230" s="93" t="str">
        <f>C99</f>
        <v>KANEKA MARGARINE 25 G 3</v>
      </c>
      <c r="D230" s="94"/>
      <c r="E230" s="94"/>
      <c r="F230" s="94"/>
      <c r="G230" s="94"/>
      <c r="H230" s="94"/>
      <c r="I230" s="94"/>
      <c r="J230" s="94"/>
      <c r="K230" s="94"/>
      <c r="L230" s="95"/>
      <c r="M230" s="37"/>
      <c r="N230" s="37"/>
      <c r="O230" s="37"/>
      <c r="P230" s="96" t="s">
        <v>137</v>
      </c>
      <c r="Q230" s="97"/>
      <c r="R230" s="97"/>
      <c r="S230" s="98"/>
      <c r="T230" s="43" t="s">
        <v>243</v>
      </c>
      <c r="U230" s="44"/>
      <c r="V230" s="45"/>
      <c r="W230" s="96" t="s">
        <v>137</v>
      </c>
      <c r="X230" s="97"/>
      <c r="Y230" s="97"/>
      <c r="Z230" s="98"/>
      <c r="AA230" s="96" t="s">
        <v>83</v>
      </c>
      <c r="AB230" s="97"/>
      <c r="AC230" s="97"/>
      <c r="AD230" s="97"/>
      <c r="AE230" s="100"/>
      <c r="AF230" s="92" t="s">
        <v>310</v>
      </c>
      <c r="AG230" s="90"/>
      <c r="AH230" s="90"/>
      <c r="AI230" s="90"/>
      <c r="AJ230" s="90"/>
      <c r="AK230" s="90"/>
      <c r="AL230" s="90"/>
      <c r="AM230" s="101">
        <v>46343</v>
      </c>
      <c r="AN230" s="102"/>
      <c r="AO230" s="102"/>
      <c r="AP230" s="103"/>
      <c r="AQ230" s="89" t="s">
        <v>230</v>
      </c>
      <c r="AR230" s="90"/>
      <c r="AS230" s="90"/>
      <c r="AT230" s="90"/>
      <c r="AU230" s="90"/>
      <c r="AV230" s="90"/>
      <c r="AW230" s="91"/>
      <c r="BC230" s="33"/>
    </row>
    <row r="231" spans="1:55" ht="27" customHeight="1">
      <c r="A231" s="89">
        <f t="shared" si="6"/>
        <v>96</v>
      </c>
      <c r="B231" s="104"/>
      <c r="C231" s="93" t="str">
        <f>C100</f>
        <v>BEEF FRANK SAUSAGE CATER</v>
      </c>
      <c r="D231" s="94"/>
      <c r="E231" s="94"/>
      <c r="F231" s="94"/>
      <c r="G231" s="94"/>
      <c r="H231" s="94"/>
      <c r="I231" s="94"/>
      <c r="J231" s="94"/>
      <c r="K231" s="94"/>
      <c r="L231" s="95"/>
      <c r="M231" s="37"/>
      <c r="N231" s="37"/>
      <c r="O231" s="37"/>
      <c r="P231" s="96" t="s">
        <v>315</v>
      </c>
      <c r="Q231" s="97"/>
      <c r="R231" s="97"/>
      <c r="S231" s="98"/>
      <c r="T231" s="43" t="s">
        <v>243</v>
      </c>
      <c r="U231" s="44"/>
      <c r="V231" s="45"/>
      <c r="W231" s="96" t="s">
        <v>315</v>
      </c>
      <c r="X231" s="97"/>
      <c r="Y231" s="97"/>
      <c r="Z231" s="98"/>
      <c r="AA231" s="96" t="s">
        <v>83</v>
      </c>
      <c r="AB231" s="97"/>
      <c r="AC231" s="97"/>
      <c r="AD231" s="97"/>
      <c r="AE231" s="100"/>
      <c r="AF231" s="92" t="s">
        <v>316</v>
      </c>
      <c r="AG231" s="90"/>
      <c r="AH231" s="90"/>
      <c r="AI231" s="90"/>
      <c r="AJ231" s="90"/>
      <c r="AK231" s="90"/>
      <c r="AL231" s="90"/>
      <c r="AM231" s="110" t="s">
        <v>233</v>
      </c>
      <c r="AN231" s="111"/>
      <c r="AO231" s="111"/>
      <c r="AP231" s="112"/>
      <c r="AQ231" s="89" t="s">
        <v>230</v>
      </c>
      <c r="AR231" s="90"/>
      <c r="AS231" s="90"/>
      <c r="AT231" s="90"/>
      <c r="AU231" s="90"/>
      <c r="AV231" s="90"/>
      <c r="AW231" s="91"/>
      <c r="BC231" s="33"/>
    </row>
    <row r="232" spans="1:55" ht="27" customHeight="1">
      <c r="A232" s="89">
        <f t="shared" si="6"/>
        <v>97</v>
      </c>
      <c r="B232" s="104"/>
      <c r="C232" s="93" t="str">
        <f t="shared" ref="C232:C243" si="7">C101</f>
        <v>MORIN KACANG TANAH GILING KASAR (NUT DONUT,SMALL NUTDONUT, NOUGAT)</v>
      </c>
      <c r="D232" s="94"/>
      <c r="E232" s="94"/>
      <c r="F232" s="94"/>
      <c r="G232" s="94"/>
      <c r="H232" s="94"/>
      <c r="I232" s="94"/>
      <c r="J232" s="94"/>
      <c r="K232" s="94"/>
      <c r="L232" s="95"/>
      <c r="M232" s="37"/>
      <c r="N232" s="37"/>
      <c r="O232" s="37"/>
      <c r="P232" s="96" t="s">
        <v>119</v>
      </c>
      <c r="Q232" s="97"/>
      <c r="R232" s="97"/>
      <c r="S232" s="98"/>
      <c r="T232" s="43" t="s">
        <v>243</v>
      </c>
      <c r="U232" s="44"/>
      <c r="V232" s="45"/>
      <c r="W232" s="96" t="s">
        <v>119</v>
      </c>
      <c r="X232" s="97"/>
      <c r="Y232" s="97"/>
      <c r="Z232" s="98"/>
      <c r="AA232" s="96" t="s">
        <v>83</v>
      </c>
      <c r="AB232" s="97"/>
      <c r="AC232" s="97"/>
      <c r="AD232" s="97"/>
      <c r="AE232" s="100"/>
      <c r="AF232" s="92" t="s">
        <v>120</v>
      </c>
      <c r="AG232" s="90"/>
      <c r="AH232" s="90"/>
      <c r="AI232" s="90"/>
      <c r="AJ232" s="90"/>
      <c r="AK232" s="90"/>
      <c r="AL232" s="90"/>
      <c r="AM232" s="110" t="s">
        <v>233</v>
      </c>
      <c r="AN232" s="111"/>
      <c r="AO232" s="111"/>
      <c r="AP232" s="112"/>
      <c r="AQ232" s="89" t="s">
        <v>230</v>
      </c>
      <c r="AR232" s="90"/>
      <c r="AS232" s="90"/>
      <c r="AT232" s="90"/>
      <c r="AU232" s="90"/>
      <c r="AV232" s="90"/>
      <c r="AW232" s="91"/>
      <c r="BC232" s="33"/>
    </row>
    <row r="233" spans="1:55" ht="27" customHeight="1">
      <c r="A233" s="89">
        <f t="shared" si="6"/>
        <v>98</v>
      </c>
      <c r="B233" s="104"/>
      <c r="C233" s="93" t="str">
        <f t="shared" si="7"/>
        <v>SPICY MAYO</v>
      </c>
      <c r="D233" s="94"/>
      <c r="E233" s="94"/>
      <c r="F233" s="94"/>
      <c r="G233" s="94"/>
      <c r="H233" s="94"/>
      <c r="I233" s="94"/>
      <c r="J233" s="94"/>
      <c r="K233" s="94"/>
      <c r="L233" s="95"/>
      <c r="M233" s="37"/>
      <c r="N233" s="37"/>
      <c r="O233" s="37"/>
      <c r="P233" s="96" t="s">
        <v>318</v>
      </c>
      <c r="Q233" s="97"/>
      <c r="R233" s="97"/>
      <c r="S233" s="98"/>
      <c r="T233" s="43" t="s">
        <v>243</v>
      </c>
      <c r="U233" s="44"/>
      <c r="V233" s="45"/>
      <c r="W233" s="96" t="s">
        <v>318</v>
      </c>
      <c r="X233" s="97"/>
      <c r="Y233" s="97"/>
      <c r="Z233" s="98"/>
      <c r="AA233" s="96" t="s">
        <v>83</v>
      </c>
      <c r="AB233" s="97"/>
      <c r="AC233" s="97"/>
      <c r="AD233" s="97"/>
      <c r="AE233" s="100"/>
      <c r="AF233" s="92" t="s">
        <v>317</v>
      </c>
      <c r="AG233" s="90"/>
      <c r="AH233" s="90"/>
      <c r="AI233" s="90"/>
      <c r="AJ233" s="90"/>
      <c r="AK233" s="90"/>
      <c r="AL233" s="90"/>
      <c r="AM233" s="101">
        <v>46049</v>
      </c>
      <c r="AN233" s="102"/>
      <c r="AO233" s="102"/>
      <c r="AP233" s="103"/>
      <c r="AQ233" s="89" t="s">
        <v>230</v>
      </c>
      <c r="AR233" s="90"/>
      <c r="AS233" s="90"/>
      <c r="AT233" s="90"/>
      <c r="AU233" s="90"/>
      <c r="AV233" s="90"/>
      <c r="AW233" s="91"/>
      <c r="BC233" s="33"/>
    </row>
    <row r="234" spans="1:55" ht="27" customHeight="1">
      <c r="A234" s="89">
        <f t="shared" si="6"/>
        <v>99</v>
      </c>
      <c r="B234" s="104"/>
      <c r="C234" s="93" t="str">
        <f t="shared" si="7"/>
        <v>KEWPIE COOKING SAUCE MENTAI MAYO</v>
      </c>
      <c r="D234" s="94"/>
      <c r="E234" s="94"/>
      <c r="F234" s="94"/>
      <c r="G234" s="94"/>
      <c r="H234" s="94"/>
      <c r="I234" s="94"/>
      <c r="J234" s="94"/>
      <c r="K234" s="94"/>
      <c r="L234" s="95"/>
      <c r="M234" s="37"/>
      <c r="N234" s="37"/>
      <c r="O234" s="37"/>
      <c r="P234" s="96" t="s">
        <v>318</v>
      </c>
      <c r="Q234" s="97"/>
      <c r="R234" s="97"/>
      <c r="S234" s="98"/>
      <c r="T234" s="43" t="s">
        <v>243</v>
      </c>
      <c r="U234" s="44"/>
      <c r="V234" s="45"/>
      <c r="W234" s="96" t="s">
        <v>318</v>
      </c>
      <c r="X234" s="97"/>
      <c r="Y234" s="97"/>
      <c r="Z234" s="98"/>
      <c r="AA234" s="96" t="s">
        <v>83</v>
      </c>
      <c r="AB234" s="97"/>
      <c r="AC234" s="97"/>
      <c r="AD234" s="97"/>
      <c r="AE234" s="100"/>
      <c r="AF234" s="92" t="s">
        <v>317</v>
      </c>
      <c r="AG234" s="90"/>
      <c r="AH234" s="90"/>
      <c r="AI234" s="90"/>
      <c r="AJ234" s="90"/>
      <c r="AK234" s="90"/>
      <c r="AL234" s="90"/>
      <c r="AM234" s="101">
        <v>46049</v>
      </c>
      <c r="AN234" s="102"/>
      <c r="AO234" s="102"/>
      <c r="AP234" s="103"/>
      <c r="AQ234" s="89" t="s">
        <v>230</v>
      </c>
      <c r="AR234" s="90"/>
      <c r="AS234" s="90"/>
      <c r="AT234" s="90"/>
      <c r="AU234" s="90"/>
      <c r="AV234" s="90"/>
      <c r="AW234" s="91"/>
      <c r="BC234" s="33"/>
    </row>
    <row r="235" spans="1:55" ht="27" customHeight="1">
      <c r="A235" s="89">
        <f t="shared" si="6"/>
        <v>100</v>
      </c>
      <c r="B235" s="104"/>
      <c r="C235" s="93" t="str">
        <f t="shared" si="7"/>
        <v>AUTHENTICA ' SUPER POLPA FINE DI POMODORO IN PUREA DI POMODORO 'AUTHENTICA' SUPER PELEED CRUSHED TOMATOES IN TOMATO PUREE</v>
      </c>
      <c r="D235" s="94"/>
      <c r="E235" s="94"/>
      <c r="F235" s="94"/>
      <c r="G235" s="94"/>
      <c r="H235" s="94"/>
      <c r="I235" s="94"/>
      <c r="J235" s="94"/>
      <c r="K235" s="94"/>
      <c r="L235" s="95"/>
      <c r="M235" s="37"/>
      <c r="N235" s="37"/>
      <c r="O235" s="37"/>
      <c r="P235" s="96" t="s">
        <v>323</v>
      </c>
      <c r="Q235" s="97"/>
      <c r="R235" s="97"/>
      <c r="S235" s="98"/>
      <c r="T235" s="43" t="s">
        <v>322</v>
      </c>
      <c r="U235" s="44"/>
      <c r="V235" s="45"/>
      <c r="W235" s="99" t="s">
        <v>143</v>
      </c>
      <c r="X235" s="97"/>
      <c r="Y235" s="97"/>
      <c r="Z235" s="100"/>
      <c r="AA235" s="167"/>
      <c r="AB235" s="168"/>
      <c r="AC235" s="168"/>
      <c r="AD235" s="168"/>
      <c r="AE235" s="169"/>
      <c r="AF235" s="92" t="s">
        <v>321</v>
      </c>
      <c r="AG235" s="90"/>
      <c r="AH235" s="90"/>
      <c r="AI235" s="90"/>
      <c r="AJ235" s="90"/>
      <c r="AK235" s="90"/>
      <c r="AL235" s="90"/>
      <c r="AM235" s="101">
        <v>46049</v>
      </c>
      <c r="AN235" s="102"/>
      <c r="AO235" s="102"/>
      <c r="AP235" s="103"/>
      <c r="AQ235" s="89" t="s">
        <v>230</v>
      </c>
      <c r="AR235" s="90"/>
      <c r="AS235" s="90"/>
      <c r="AT235" s="90"/>
      <c r="AU235" s="90"/>
      <c r="AV235" s="90"/>
      <c r="AW235" s="91"/>
      <c r="BC235" s="33"/>
    </row>
    <row r="236" spans="1:55" ht="27" customHeight="1">
      <c r="A236" s="89">
        <f t="shared" si="6"/>
        <v>101</v>
      </c>
      <c r="B236" s="104"/>
      <c r="C236" s="93" t="str">
        <f t="shared" si="7"/>
        <v>DAGING AYAM</v>
      </c>
      <c r="D236" s="94"/>
      <c r="E236" s="94"/>
      <c r="F236" s="94"/>
      <c r="G236" s="94"/>
      <c r="H236" s="94"/>
      <c r="I236" s="94"/>
      <c r="J236" s="94"/>
      <c r="K236" s="94"/>
      <c r="L236" s="95"/>
      <c r="M236" s="37"/>
      <c r="N236" s="37"/>
      <c r="O236" s="37"/>
      <c r="P236" s="96" t="s">
        <v>326</v>
      </c>
      <c r="Q236" s="97"/>
      <c r="R236" s="97"/>
      <c r="S236" s="98"/>
      <c r="T236" s="43" t="s">
        <v>243</v>
      </c>
      <c r="U236" s="44"/>
      <c r="V236" s="45"/>
      <c r="W236" s="99" t="s">
        <v>327</v>
      </c>
      <c r="X236" s="97"/>
      <c r="Y236" s="97"/>
      <c r="Z236" s="100"/>
      <c r="AA236" s="92" t="s">
        <v>83</v>
      </c>
      <c r="AB236" s="90"/>
      <c r="AC236" s="90"/>
      <c r="AD236" s="90"/>
      <c r="AE236" s="91"/>
      <c r="AF236" s="92" t="s">
        <v>328</v>
      </c>
      <c r="AG236" s="90"/>
      <c r="AH236" s="90"/>
      <c r="AI236" s="90"/>
      <c r="AJ236" s="90"/>
      <c r="AK236" s="90"/>
      <c r="AL236" s="90"/>
      <c r="AM236" s="110" t="s">
        <v>233</v>
      </c>
      <c r="AN236" s="111"/>
      <c r="AO236" s="111"/>
      <c r="AP236" s="112"/>
      <c r="AQ236" s="89" t="s">
        <v>230</v>
      </c>
      <c r="AR236" s="90"/>
      <c r="AS236" s="90"/>
      <c r="AT236" s="90"/>
      <c r="AU236" s="90"/>
      <c r="AV236" s="90"/>
      <c r="AW236" s="91"/>
      <c r="BC236" s="33"/>
    </row>
    <row r="237" spans="1:55" ht="27" customHeight="1">
      <c r="A237" s="89">
        <f t="shared" si="6"/>
        <v>102</v>
      </c>
      <c r="B237" s="104"/>
      <c r="C237" s="93" t="str">
        <f t="shared" si="7"/>
        <v>DIAMOND - SUSU UHT RASA PLAIN (ALL PURPOSE MILK)</v>
      </c>
      <c r="D237" s="94"/>
      <c r="E237" s="94"/>
      <c r="F237" s="94"/>
      <c r="G237" s="94"/>
      <c r="H237" s="94"/>
      <c r="I237" s="94"/>
      <c r="J237" s="94"/>
      <c r="K237" s="94"/>
      <c r="L237" s="95"/>
      <c r="M237" s="37"/>
      <c r="N237" s="37"/>
      <c r="O237" s="37"/>
      <c r="P237" s="96" t="s">
        <v>131</v>
      </c>
      <c r="Q237" s="97"/>
      <c r="R237" s="97"/>
      <c r="S237" s="98"/>
      <c r="T237" s="43" t="s">
        <v>243</v>
      </c>
      <c r="U237" s="44"/>
      <c r="V237" s="45"/>
      <c r="W237" s="99" t="s">
        <v>305</v>
      </c>
      <c r="X237" s="97"/>
      <c r="Y237" s="97"/>
      <c r="Z237" s="100"/>
      <c r="AA237" s="92" t="s">
        <v>83</v>
      </c>
      <c r="AB237" s="90"/>
      <c r="AC237" s="90"/>
      <c r="AD237" s="90"/>
      <c r="AE237" s="91"/>
      <c r="AF237" s="92" t="s">
        <v>330</v>
      </c>
      <c r="AG237" s="90"/>
      <c r="AH237" s="90"/>
      <c r="AI237" s="90"/>
      <c r="AJ237" s="90"/>
      <c r="AK237" s="90"/>
      <c r="AL237" s="90"/>
      <c r="AM237" s="110" t="s">
        <v>233</v>
      </c>
      <c r="AN237" s="111"/>
      <c r="AO237" s="111"/>
      <c r="AP237" s="112"/>
      <c r="AQ237" s="89" t="s">
        <v>230</v>
      </c>
      <c r="AR237" s="90"/>
      <c r="AS237" s="90"/>
      <c r="AT237" s="90"/>
      <c r="AU237" s="90"/>
      <c r="AV237" s="90"/>
      <c r="AW237" s="91"/>
      <c r="BC237" s="33"/>
    </row>
    <row r="238" spans="1:55" ht="27" customHeight="1">
      <c r="A238" s="89">
        <f t="shared" si="6"/>
        <v>103</v>
      </c>
      <c r="B238" s="104"/>
      <c r="C238" s="93" t="str">
        <f t="shared" si="7"/>
        <v>MAX ALMOND ALMOND SLICE</v>
      </c>
      <c r="D238" s="94"/>
      <c r="E238" s="94"/>
      <c r="F238" s="94"/>
      <c r="G238" s="94"/>
      <c r="H238" s="94"/>
      <c r="I238" s="94"/>
      <c r="J238" s="94"/>
      <c r="K238" s="94"/>
      <c r="L238" s="95"/>
      <c r="M238" s="37"/>
      <c r="N238" s="37"/>
      <c r="O238" s="37"/>
      <c r="P238" s="96" t="s">
        <v>324</v>
      </c>
      <c r="Q238" s="97"/>
      <c r="R238" s="97"/>
      <c r="S238" s="98"/>
      <c r="T238" s="43" t="s">
        <v>243</v>
      </c>
      <c r="U238" s="44"/>
      <c r="V238" s="45"/>
      <c r="W238" s="96" t="s">
        <v>324</v>
      </c>
      <c r="X238" s="97"/>
      <c r="Y238" s="97"/>
      <c r="Z238" s="98"/>
      <c r="AA238" s="92" t="s">
        <v>83</v>
      </c>
      <c r="AB238" s="90"/>
      <c r="AC238" s="90"/>
      <c r="AD238" s="90"/>
      <c r="AE238" s="91"/>
      <c r="AF238" s="92" t="s">
        <v>333</v>
      </c>
      <c r="AG238" s="90"/>
      <c r="AH238" s="90"/>
      <c r="AI238" s="90"/>
      <c r="AJ238" s="90"/>
      <c r="AK238" s="90"/>
      <c r="AL238" s="90"/>
      <c r="AM238" s="110" t="s">
        <v>233</v>
      </c>
      <c r="AN238" s="111"/>
      <c r="AO238" s="111"/>
      <c r="AP238" s="112"/>
      <c r="AQ238" s="89" t="s">
        <v>230</v>
      </c>
      <c r="AR238" s="90"/>
      <c r="AS238" s="90"/>
      <c r="AT238" s="90"/>
      <c r="AU238" s="90"/>
      <c r="AV238" s="90"/>
      <c r="AW238" s="91"/>
      <c r="BC238" s="33"/>
    </row>
    <row r="239" spans="1:55" ht="27" customHeight="1">
      <c r="A239" s="89">
        <f t="shared" si="6"/>
        <v>104</v>
      </c>
      <c r="B239" s="104"/>
      <c r="C239" s="93" t="str">
        <f t="shared" si="7"/>
        <v>SWEET CHICKEN FLOSS / SERUNDING AYAM MANIS</v>
      </c>
      <c r="D239" s="94"/>
      <c r="E239" s="94"/>
      <c r="F239" s="94"/>
      <c r="G239" s="94"/>
      <c r="H239" s="94"/>
      <c r="I239" s="94"/>
      <c r="J239" s="94"/>
      <c r="K239" s="94"/>
      <c r="L239" s="95"/>
      <c r="M239" s="37"/>
      <c r="N239" s="37"/>
      <c r="O239" s="37"/>
      <c r="P239" s="96" t="s">
        <v>349</v>
      </c>
      <c r="Q239" s="97"/>
      <c r="R239" s="97"/>
      <c r="S239" s="98"/>
      <c r="T239" s="43" t="s">
        <v>348</v>
      </c>
      <c r="U239" s="44"/>
      <c r="V239" s="45"/>
      <c r="W239" s="99" t="s">
        <v>347</v>
      </c>
      <c r="X239" s="97"/>
      <c r="Y239" s="97"/>
      <c r="Z239" s="100"/>
      <c r="AA239" s="69"/>
      <c r="AB239" s="70"/>
      <c r="AC239" s="70"/>
      <c r="AD239" s="70"/>
      <c r="AE239" s="71"/>
      <c r="AF239" s="92" t="s">
        <v>350</v>
      </c>
      <c r="AG239" s="90"/>
      <c r="AH239" s="90"/>
      <c r="AI239" s="90"/>
      <c r="AJ239" s="90"/>
      <c r="AK239" s="90"/>
      <c r="AL239" s="90"/>
      <c r="AM239" s="101">
        <v>46691</v>
      </c>
      <c r="AN239" s="102"/>
      <c r="AO239" s="102"/>
      <c r="AP239" s="103"/>
      <c r="AQ239" s="89" t="s">
        <v>230</v>
      </c>
      <c r="AR239" s="90"/>
      <c r="AS239" s="90"/>
      <c r="AT239" s="90"/>
      <c r="AU239" s="90"/>
      <c r="AV239" s="90"/>
      <c r="AW239" s="91"/>
      <c r="BC239" s="33"/>
    </row>
    <row r="240" spans="1:55" ht="27" customHeight="1">
      <c r="A240" s="89">
        <f t="shared" si="6"/>
        <v>105</v>
      </c>
      <c r="B240" s="104"/>
      <c r="C240" s="93" t="str">
        <f t="shared" si="7"/>
        <v>WHITE BEAN PASTE</v>
      </c>
      <c r="D240" s="94"/>
      <c r="E240" s="94"/>
      <c r="F240" s="94"/>
      <c r="G240" s="94"/>
      <c r="H240" s="94"/>
      <c r="I240" s="94"/>
      <c r="J240" s="94"/>
      <c r="K240" s="94"/>
      <c r="L240" s="95"/>
      <c r="M240" s="37"/>
      <c r="N240" s="37"/>
      <c r="O240" s="37"/>
      <c r="P240" s="96" t="s">
        <v>355</v>
      </c>
      <c r="Q240" s="97"/>
      <c r="R240" s="97"/>
      <c r="S240" s="98"/>
      <c r="T240" s="43" t="s">
        <v>304</v>
      </c>
      <c r="U240" s="44"/>
      <c r="V240" s="45"/>
      <c r="W240" s="99" t="s">
        <v>347</v>
      </c>
      <c r="X240" s="97"/>
      <c r="Y240" s="97"/>
      <c r="Z240" s="100"/>
      <c r="AA240" s="167"/>
      <c r="AB240" s="168"/>
      <c r="AC240" s="168"/>
      <c r="AD240" s="168"/>
      <c r="AE240" s="169"/>
      <c r="AF240" s="68" t="s">
        <v>354</v>
      </c>
      <c r="AG240" s="44"/>
      <c r="AH240" s="44"/>
      <c r="AI240" s="44"/>
      <c r="AJ240" s="44"/>
      <c r="AK240" s="44"/>
      <c r="AL240" s="44"/>
      <c r="AM240" s="101">
        <v>46847</v>
      </c>
      <c r="AN240" s="102"/>
      <c r="AO240" s="102"/>
      <c r="AP240" s="103"/>
      <c r="AQ240" s="89" t="s">
        <v>230</v>
      </c>
      <c r="AR240" s="90"/>
      <c r="AS240" s="90"/>
      <c r="AT240" s="90"/>
      <c r="AU240" s="90"/>
      <c r="AV240" s="90"/>
      <c r="AW240" s="91"/>
      <c r="BC240" s="33"/>
    </row>
    <row r="241" spans="1:55" ht="27" customHeight="1">
      <c r="A241" s="89">
        <f t="shared" si="6"/>
        <v>106</v>
      </c>
      <c r="B241" s="104"/>
      <c r="C241" s="93" t="str">
        <f t="shared" si="7"/>
        <v>SWEETENED RED BEAN</v>
      </c>
      <c r="D241" s="94"/>
      <c r="E241" s="94"/>
      <c r="F241" s="94"/>
      <c r="G241" s="94"/>
      <c r="H241" s="94"/>
      <c r="I241" s="94"/>
      <c r="J241" s="94"/>
      <c r="K241" s="94"/>
      <c r="L241" s="95"/>
      <c r="M241" s="37"/>
      <c r="N241" s="37"/>
      <c r="O241" s="37"/>
      <c r="P241" s="96" t="s">
        <v>355</v>
      </c>
      <c r="Q241" s="97"/>
      <c r="R241" s="97"/>
      <c r="S241" s="98"/>
      <c r="T241" s="43" t="s">
        <v>304</v>
      </c>
      <c r="U241" s="44"/>
      <c r="V241" s="45"/>
      <c r="W241" s="99" t="s">
        <v>347</v>
      </c>
      <c r="X241" s="97"/>
      <c r="Y241" s="97"/>
      <c r="Z241" s="100"/>
      <c r="AA241" s="167"/>
      <c r="AB241" s="168"/>
      <c r="AC241" s="168"/>
      <c r="AD241" s="168"/>
      <c r="AE241" s="169"/>
      <c r="AF241" s="68" t="s">
        <v>354</v>
      </c>
      <c r="AG241" s="44"/>
      <c r="AH241" s="44"/>
      <c r="AI241" s="44"/>
      <c r="AJ241" s="44"/>
      <c r="AK241" s="44"/>
      <c r="AL241" s="44"/>
      <c r="AM241" s="101">
        <v>46847</v>
      </c>
      <c r="AN241" s="102"/>
      <c r="AO241" s="102"/>
      <c r="AP241" s="103"/>
      <c r="AQ241" s="89" t="s">
        <v>230</v>
      </c>
      <c r="AR241" s="90"/>
      <c r="AS241" s="90"/>
      <c r="AT241" s="90"/>
      <c r="AU241" s="90"/>
      <c r="AV241" s="90"/>
      <c r="AW241" s="91"/>
      <c r="BC241" s="33"/>
    </row>
    <row r="242" spans="1:55" ht="27" customHeight="1">
      <c r="A242" s="89">
        <f t="shared" si="6"/>
        <v>107</v>
      </c>
      <c r="B242" s="104"/>
      <c r="C242" s="93" t="str">
        <f t="shared" si="7"/>
        <v>MIXED SWEETENED BEAN</v>
      </c>
      <c r="D242" s="94"/>
      <c r="E242" s="94"/>
      <c r="F242" s="94"/>
      <c r="G242" s="94"/>
      <c r="H242" s="94"/>
      <c r="I242" s="94"/>
      <c r="J242" s="94"/>
      <c r="K242" s="94"/>
      <c r="L242" s="95"/>
      <c r="M242" s="37"/>
      <c r="N242" s="37"/>
      <c r="O242" s="37"/>
      <c r="P242" s="96" t="s">
        <v>355</v>
      </c>
      <c r="Q242" s="97"/>
      <c r="R242" s="97"/>
      <c r="S242" s="98"/>
      <c r="T242" s="43" t="s">
        <v>304</v>
      </c>
      <c r="U242" s="44"/>
      <c r="V242" s="45"/>
      <c r="W242" s="99" t="s">
        <v>347</v>
      </c>
      <c r="X242" s="97"/>
      <c r="Y242" s="97"/>
      <c r="Z242" s="100"/>
      <c r="AA242" s="167"/>
      <c r="AB242" s="168"/>
      <c r="AC242" s="168"/>
      <c r="AD242" s="168"/>
      <c r="AE242" s="169"/>
      <c r="AF242" s="68" t="s">
        <v>354</v>
      </c>
      <c r="AG242" s="44"/>
      <c r="AH242" s="44"/>
      <c r="AI242" s="44"/>
      <c r="AJ242" s="44"/>
      <c r="AK242" s="44"/>
      <c r="AL242" s="44"/>
      <c r="AM242" s="101">
        <v>46847</v>
      </c>
      <c r="AN242" s="102"/>
      <c r="AO242" s="102"/>
      <c r="AP242" s="103"/>
      <c r="AQ242" s="89" t="s">
        <v>230</v>
      </c>
      <c r="AR242" s="90"/>
      <c r="AS242" s="90"/>
      <c r="AT242" s="90"/>
      <c r="AU242" s="90"/>
      <c r="AV242" s="90"/>
      <c r="AW242" s="91"/>
      <c r="BC242" s="33"/>
    </row>
    <row r="243" spans="1:55" ht="27" customHeight="1">
      <c r="A243" s="89">
        <f t="shared" si="6"/>
        <v>108</v>
      </c>
      <c r="B243" s="104"/>
      <c r="C243" s="93" t="str">
        <f t="shared" si="7"/>
        <v>MALA CHCHIKEN FLOSS (MCF)(SERUNDING AYAM MALA (MCF))</v>
      </c>
      <c r="D243" s="94"/>
      <c r="E243" s="94"/>
      <c r="F243" s="94"/>
      <c r="G243" s="94"/>
      <c r="H243" s="94"/>
      <c r="I243" s="94"/>
      <c r="J243" s="94"/>
      <c r="K243" s="94"/>
      <c r="L243" s="95"/>
      <c r="M243" s="37"/>
      <c r="N243" s="37"/>
      <c r="O243" s="37"/>
      <c r="P243" s="96" t="s">
        <v>349</v>
      </c>
      <c r="Q243" s="97"/>
      <c r="R243" s="97"/>
      <c r="S243" s="98"/>
      <c r="T243" s="43" t="s">
        <v>348</v>
      </c>
      <c r="U243" s="44"/>
      <c r="V243" s="45"/>
      <c r="W243" s="99" t="s">
        <v>347</v>
      </c>
      <c r="X243" s="97"/>
      <c r="Y243" s="97"/>
      <c r="Z243" s="100"/>
      <c r="AA243" s="167"/>
      <c r="AB243" s="168"/>
      <c r="AC243" s="168"/>
      <c r="AD243" s="168"/>
      <c r="AE243" s="169"/>
      <c r="AF243" s="92" t="s">
        <v>350</v>
      </c>
      <c r="AG243" s="90"/>
      <c r="AH243" s="90"/>
      <c r="AI243" s="90"/>
      <c r="AJ243" s="90"/>
      <c r="AK243" s="90"/>
      <c r="AL243" s="90"/>
      <c r="AM243" s="101">
        <v>46418</v>
      </c>
      <c r="AN243" s="102"/>
      <c r="AO243" s="102"/>
      <c r="AP243" s="103"/>
      <c r="AQ243" s="89" t="s">
        <v>230</v>
      </c>
      <c r="AR243" s="90"/>
      <c r="AS243" s="90"/>
      <c r="AT243" s="90"/>
      <c r="AU243" s="90"/>
      <c r="AV243" s="90"/>
      <c r="AW243" s="91"/>
      <c r="BC243" s="33"/>
    </row>
    <row r="244" spans="1:55" ht="27" customHeight="1">
      <c r="A244" s="89">
        <f t="shared" si="6"/>
        <v>109</v>
      </c>
      <c r="B244" s="104"/>
      <c r="C244" s="93" t="str">
        <f t="shared" ref="C244:C247" si="8">C113</f>
        <v>PASTA TALAS</v>
      </c>
      <c r="D244" s="94"/>
      <c r="E244" s="94"/>
      <c r="F244" s="94"/>
      <c r="G244" s="94"/>
      <c r="H244" s="94"/>
      <c r="I244" s="94"/>
      <c r="J244" s="94"/>
      <c r="K244" s="94"/>
      <c r="L244" s="95"/>
      <c r="M244" s="37"/>
      <c r="N244" s="37"/>
      <c r="O244" s="37"/>
      <c r="P244" s="96" t="s">
        <v>357</v>
      </c>
      <c r="Q244" s="97"/>
      <c r="R244" s="97"/>
      <c r="S244" s="98"/>
      <c r="T244" s="43" t="s">
        <v>243</v>
      </c>
      <c r="U244" s="44"/>
      <c r="V244" s="45"/>
      <c r="W244" s="99" t="s">
        <v>347</v>
      </c>
      <c r="X244" s="97"/>
      <c r="Y244" s="97"/>
      <c r="Z244" s="100"/>
      <c r="AA244" s="92" t="s">
        <v>83</v>
      </c>
      <c r="AB244" s="90"/>
      <c r="AC244" s="90"/>
      <c r="AD244" s="90"/>
      <c r="AE244" s="91"/>
      <c r="AF244" s="92" t="s">
        <v>358</v>
      </c>
      <c r="AG244" s="90"/>
      <c r="AH244" s="90"/>
      <c r="AI244" s="90"/>
      <c r="AJ244" s="90"/>
      <c r="AK244" s="90"/>
      <c r="AL244" s="90"/>
      <c r="AM244" s="110" t="s">
        <v>233</v>
      </c>
      <c r="AN244" s="111"/>
      <c r="AO244" s="111"/>
      <c r="AP244" s="112"/>
      <c r="AQ244" s="89" t="s">
        <v>230</v>
      </c>
      <c r="AR244" s="90"/>
      <c r="AS244" s="90"/>
      <c r="AT244" s="90"/>
      <c r="AU244" s="90"/>
      <c r="AV244" s="90"/>
      <c r="AW244" s="91"/>
      <c r="BC244" s="33"/>
    </row>
    <row r="245" spans="1:55" ht="27" customHeight="1">
      <c r="A245" s="89">
        <f t="shared" si="6"/>
        <v>110</v>
      </c>
      <c r="B245" s="104"/>
      <c r="C245" s="93" t="str">
        <f t="shared" si="8"/>
        <v>PURPLE SWEET POTATO POWDER</v>
      </c>
      <c r="D245" s="94"/>
      <c r="E245" s="94"/>
      <c r="F245" s="94"/>
      <c r="G245" s="94"/>
      <c r="H245" s="94"/>
      <c r="I245" s="94"/>
      <c r="J245" s="94"/>
      <c r="K245" s="94"/>
      <c r="L245" s="95"/>
      <c r="M245" s="37"/>
      <c r="N245" s="37"/>
      <c r="O245" s="37"/>
      <c r="P245" s="96" t="s">
        <v>361</v>
      </c>
      <c r="Q245" s="97"/>
      <c r="R245" s="97"/>
      <c r="S245" s="98"/>
      <c r="T245" s="43" t="s">
        <v>348</v>
      </c>
      <c r="U245" s="44"/>
      <c r="V245" s="45"/>
      <c r="W245" s="99" t="s">
        <v>347</v>
      </c>
      <c r="X245" s="97"/>
      <c r="Y245" s="97"/>
      <c r="Z245" s="100"/>
      <c r="AA245" s="167"/>
      <c r="AB245" s="168"/>
      <c r="AC245" s="168"/>
      <c r="AD245" s="168"/>
      <c r="AE245" s="169"/>
      <c r="AF245" s="92" t="s">
        <v>362</v>
      </c>
      <c r="AG245" s="90"/>
      <c r="AH245" s="90"/>
      <c r="AI245" s="90"/>
      <c r="AJ245" s="90"/>
      <c r="AK245" s="90"/>
      <c r="AL245" s="90"/>
      <c r="AM245" s="101">
        <v>46356</v>
      </c>
      <c r="AN245" s="102"/>
      <c r="AO245" s="102"/>
      <c r="AP245" s="103"/>
      <c r="AQ245" s="89" t="s">
        <v>230</v>
      </c>
      <c r="AR245" s="90"/>
      <c r="AS245" s="90"/>
      <c r="AT245" s="90"/>
      <c r="AU245" s="90"/>
      <c r="AV245" s="90"/>
      <c r="AW245" s="91"/>
      <c r="BC245" s="33"/>
    </row>
    <row r="246" spans="1:55" ht="27" customHeight="1">
      <c r="A246" s="89">
        <f t="shared" si="6"/>
        <v>111</v>
      </c>
      <c r="B246" s="104"/>
      <c r="C246" s="93" t="str">
        <f t="shared" si="8"/>
        <v>TATUA WHIPPING CREAM</v>
      </c>
      <c r="D246" s="94"/>
      <c r="E246" s="94"/>
      <c r="F246" s="94"/>
      <c r="G246" s="94"/>
      <c r="H246" s="94"/>
      <c r="I246" s="94"/>
      <c r="J246" s="94"/>
      <c r="K246" s="94"/>
      <c r="L246" s="95"/>
      <c r="M246" s="37"/>
      <c r="N246" s="37"/>
      <c r="O246" s="37"/>
      <c r="P246" s="96" t="s">
        <v>369</v>
      </c>
      <c r="Q246" s="97"/>
      <c r="R246" s="97"/>
      <c r="S246" s="98"/>
      <c r="T246" s="43" t="s">
        <v>366</v>
      </c>
      <c r="U246" s="44"/>
      <c r="V246" s="45"/>
      <c r="W246" s="96" t="s">
        <v>365</v>
      </c>
      <c r="X246" s="97"/>
      <c r="Y246" s="97"/>
      <c r="Z246" s="98"/>
      <c r="AA246" s="167"/>
      <c r="AB246" s="168"/>
      <c r="AC246" s="168"/>
      <c r="AD246" s="168"/>
      <c r="AE246" s="169"/>
      <c r="AF246" s="92" t="s">
        <v>367</v>
      </c>
      <c r="AG246" s="90"/>
      <c r="AH246" s="90"/>
      <c r="AI246" s="90"/>
      <c r="AJ246" s="90"/>
      <c r="AK246" s="90"/>
      <c r="AL246" s="90"/>
      <c r="AM246" s="101">
        <v>46272</v>
      </c>
      <c r="AN246" s="102"/>
      <c r="AO246" s="102"/>
      <c r="AP246" s="103"/>
      <c r="AQ246" s="89" t="s">
        <v>230</v>
      </c>
      <c r="AR246" s="90"/>
      <c r="AS246" s="90"/>
      <c r="AT246" s="90"/>
      <c r="AU246" s="90"/>
      <c r="AV246" s="90"/>
      <c r="AW246" s="91"/>
      <c r="BC246" s="33"/>
    </row>
    <row r="247" spans="1:55" ht="27" customHeight="1">
      <c r="A247" s="89">
        <f t="shared" si="6"/>
        <v>112</v>
      </c>
      <c r="B247" s="104"/>
      <c r="C247" s="93" t="str">
        <f t="shared" si="8"/>
        <v>SAPUTO CREAM CHEESE</v>
      </c>
      <c r="D247" s="94"/>
      <c r="E247" s="94"/>
      <c r="F247" s="94"/>
      <c r="G247" s="94"/>
      <c r="H247" s="94"/>
      <c r="I247" s="94"/>
      <c r="J247" s="94"/>
      <c r="K247" s="94"/>
      <c r="L247" s="95"/>
      <c r="M247" s="37"/>
      <c r="N247" s="37"/>
      <c r="O247" s="37"/>
      <c r="P247" s="96" t="s">
        <v>370</v>
      </c>
      <c r="Q247" s="97"/>
      <c r="R247" s="97"/>
      <c r="S247" s="98"/>
      <c r="T247" s="43" t="s">
        <v>296</v>
      </c>
      <c r="U247" s="44"/>
      <c r="V247" s="45"/>
      <c r="W247" s="96" t="s">
        <v>365</v>
      </c>
      <c r="X247" s="97"/>
      <c r="Y247" s="97"/>
      <c r="Z247" s="98"/>
      <c r="AA247" s="167"/>
      <c r="AB247" s="168"/>
      <c r="AC247" s="168"/>
      <c r="AD247" s="168"/>
      <c r="AE247" s="169"/>
      <c r="AF247" s="92" t="s">
        <v>368</v>
      </c>
      <c r="AG247" s="90"/>
      <c r="AH247" s="90"/>
      <c r="AI247" s="90"/>
      <c r="AJ247" s="90"/>
      <c r="AK247" s="90"/>
      <c r="AL247" s="90"/>
      <c r="AM247" s="101">
        <v>46858</v>
      </c>
      <c r="AN247" s="102"/>
      <c r="AO247" s="102"/>
      <c r="AP247" s="103"/>
      <c r="AQ247" s="89" t="s">
        <v>230</v>
      </c>
      <c r="AR247" s="90"/>
      <c r="AS247" s="90"/>
      <c r="AT247" s="90"/>
      <c r="AU247" s="90"/>
      <c r="AV247" s="90"/>
      <c r="AW247" s="91"/>
      <c r="BC247" s="33"/>
    </row>
    <row r="248" spans="1:55" ht="27" customHeight="1">
      <c r="A248" s="89">
        <v>113</v>
      </c>
      <c r="B248" s="104"/>
      <c r="C248" s="93" t="s">
        <v>399</v>
      </c>
      <c r="D248" s="94"/>
      <c r="E248" s="94"/>
      <c r="F248" s="94"/>
      <c r="G248" s="94"/>
      <c r="H248" s="94"/>
      <c r="I248" s="94"/>
      <c r="J248" s="94"/>
      <c r="K248" s="94"/>
      <c r="L248" s="95"/>
      <c r="M248" s="37"/>
      <c r="N248" s="37"/>
      <c r="O248" s="37"/>
      <c r="P248" s="96"/>
      <c r="Q248" s="97"/>
      <c r="R248" s="97"/>
      <c r="S248" s="98"/>
      <c r="T248" s="43"/>
      <c r="U248" s="44"/>
      <c r="V248" s="45"/>
      <c r="W248" s="96"/>
      <c r="X248" s="97"/>
      <c r="Y248" s="97"/>
      <c r="Z248" s="98"/>
      <c r="AA248" s="167"/>
      <c r="AB248" s="168"/>
      <c r="AC248" s="168"/>
      <c r="AD248" s="168"/>
      <c r="AE248" s="169"/>
      <c r="AF248" s="92"/>
      <c r="AG248" s="90"/>
      <c r="AH248" s="90"/>
      <c r="AI248" s="90"/>
      <c r="AJ248" s="90"/>
      <c r="AK248" s="90"/>
      <c r="AL248" s="90"/>
      <c r="AM248" s="101"/>
      <c r="AN248" s="102"/>
      <c r="AO248" s="102"/>
      <c r="AP248" s="103"/>
      <c r="AQ248" s="89"/>
      <c r="AR248" s="90"/>
      <c r="AS248" s="90"/>
      <c r="AT248" s="90"/>
      <c r="AU248" s="90"/>
      <c r="AV248" s="90"/>
      <c r="AW248" s="91"/>
      <c r="BC248" s="33"/>
    </row>
    <row r="249" spans="1:55" ht="27" customHeight="1">
      <c r="A249" s="89">
        <v>114</v>
      </c>
      <c r="B249" s="104"/>
      <c r="C249" s="93" t="s">
        <v>401</v>
      </c>
      <c r="D249" s="94"/>
      <c r="E249" s="94"/>
      <c r="F249" s="94"/>
      <c r="G249" s="94"/>
      <c r="H249" s="94"/>
      <c r="I249" s="94"/>
      <c r="J249" s="94"/>
      <c r="K249" s="94"/>
      <c r="L249" s="95"/>
      <c r="M249" s="37"/>
      <c r="N249" s="37"/>
      <c r="O249" s="37"/>
      <c r="P249" s="96"/>
      <c r="Q249" s="97"/>
      <c r="R249" s="97"/>
      <c r="S249" s="98"/>
      <c r="T249" s="43"/>
      <c r="U249" s="44"/>
      <c r="V249" s="45"/>
      <c r="W249" s="96"/>
      <c r="X249" s="97"/>
      <c r="Y249" s="97"/>
      <c r="Z249" s="98"/>
      <c r="AA249" s="167"/>
      <c r="AB249" s="168"/>
      <c r="AC249" s="168"/>
      <c r="AD249" s="168"/>
      <c r="AE249" s="169"/>
      <c r="AF249" s="92"/>
      <c r="AG249" s="90"/>
      <c r="AH249" s="90"/>
      <c r="AI249" s="90"/>
      <c r="AJ249" s="90"/>
      <c r="AK249" s="90"/>
      <c r="AL249" s="90"/>
      <c r="AM249" s="101"/>
      <c r="AN249" s="102"/>
      <c r="AO249" s="102"/>
      <c r="AP249" s="103"/>
      <c r="AQ249" s="89" t="s">
        <v>118</v>
      </c>
      <c r="AR249" s="90"/>
      <c r="AS249" s="90"/>
      <c r="AT249" s="90"/>
      <c r="AU249" s="90"/>
      <c r="AV249" s="90"/>
      <c r="AW249" s="91"/>
      <c r="BC249" s="33"/>
    </row>
    <row r="250" spans="1:55" ht="27" customHeight="1">
      <c r="A250" s="89">
        <v>115</v>
      </c>
      <c r="B250" s="104"/>
      <c r="C250" s="93" t="s">
        <v>402</v>
      </c>
      <c r="D250" s="94"/>
      <c r="E250" s="94"/>
      <c r="F250" s="94"/>
      <c r="G250" s="94"/>
      <c r="H250" s="94"/>
      <c r="I250" s="94"/>
      <c r="J250" s="94"/>
      <c r="K250" s="94"/>
      <c r="L250" s="95"/>
      <c r="M250" s="37"/>
      <c r="N250" s="37"/>
      <c r="O250" s="37"/>
      <c r="P250" s="96"/>
      <c r="Q250" s="97"/>
      <c r="R250" s="97"/>
      <c r="S250" s="98"/>
      <c r="T250" s="43"/>
      <c r="U250" s="44"/>
      <c r="V250" s="45"/>
      <c r="W250" s="96"/>
      <c r="X250" s="97"/>
      <c r="Y250" s="97"/>
      <c r="Z250" s="98"/>
      <c r="AA250" s="167"/>
      <c r="AB250" s="168"/>
      <c r="AC250" s="168"/>
      <c r="AD250" s="168"/>
      <c r="AE250" s="169"/>
      <c r="AF250" s="92"/>
      <c r="AG250" s="90"/>
      <c r="AH250" s="90"/>
      <c r="AI250" s="90"/>
      <c r="AJ250" s="90"/>
      <c r="AK250" s="90"/>
      <c r="AL250" s="90"/>
      <c r="AM250" s="101"/>
      <c r="AN250" s="102"/>
      <c r="AO250" s="102"/>
      <c r="AP250" s="103"/>
      <c r="AQ250" s="89"/>
      <c r="AR250" s="90"/>
      <c r="AS250" s="90"/>
      <c r="AT250" s="90"/>
      <c r="AU250" s="90"/>
      <c r="AV250" s="90"/>
      <c r="AW250" s="91"/>
      <c r="BC250" s="33"/>
    </row>
    <row r="251" spans="1:55" ht="27" customHeight="1">
      <c r="A251" s="89">
        <v>116</v>
      </c>
      <c r="B251" s="104"/>
      <c r="C251" s="93" t="s">
        <v>403</v>
      </c>
      <c r="D251" s="94"/>
      <c r="E251" s="94"/>
      <c r="F251" s="94"/>
      <c r="G251" s="94"/>
      <c r="H251" s="94"/>
      <c r="I251" s="94"/>
      <c r="J251" s="94"/>
      <c r="K251" s="94"/>
      <c r="L251" s="95"/>
      <c r="M251" s="37"/>
      <c r="N251" s="37"/>
      <c r="O251" s="37"/>
      <c r="P251" s="96"/>
      <c r="Q251" s="97"/>
      <c r="R251" s="97"/>
      <c r="S251" s="98"/>
      <c r="T251" s="43"/>
      <c r="U251" s="44"/>
      <c r="V251" s="45"/>
      <c r="W251" s="96"/>
      <c r="X251" s="97"/>
      <c r="Y251" s="97"/>
      <c r="Z251" s="98"/>
      <c r="AA251" s="167"/>
      <c r="AB251" s="168"/>
      <c r="AC251" s="168"/>
      <c r="AD251" s="168"/>
      <c r="AE251" s="169"/>
      <c r="AF251" s="92"/>
      <c r="AG251" s="90"/>
      <c r="AH251" s="90"/>
      <c r="AI251" s="90"/>
      <c r="AJ251" s="90"/>
      <c r="AK251" s="90"/>
      <c r="AL251" s="90"/>
      <c r="AM251" s="101"/>
      <c r="AN251" s="102"/>
      <c r="AO251" s="102"/>
      <c r="AP251" s="103"/>
      <c r="AQ251" s="89"/>
      <c r="AR251" s="90"/>
      <c r="AS251" s="90"/>
      <c r="AT251" s="90"/>
      <c r="AU251" s="90"/>
      <c r="AV251" s="90"/>
      <c r="AW251" s="91"/>
      <c r="BC251" s="33"/>
    </row>
    <row r="252" spans="1:55" ht="27" customHeight="1">
      <c r="A252" s="89">
        <v>117</v>
      </c>
      <c r="B252" s="104"/>
      <c r="C252" s="93" t="s">
        <v>407</v>
      </c>
      <c r="D252" s="94"/>
      <c r="E252" s="94"/>
      <c r="F252" s="94"/>
      <c r="G252" s="94"/>
      <c r="H252" s="94"/>
      <c r="I252" s="94"/>
      <c r="J252" s="94"/>
      <c r="K252" s="94"/>
      <c r="L252" s="95"/>
      <c r="M252" s="37"/>
      <c r="N252" s="37"/>
      <c r="O252" s="37"/>
      <c r="P252" s="96"/>
      <c r="Q252" s="97"/>
      <c r="R252" s="97"/>
      <c r="S252" s="98"/>
      <c r="T252" s="43"/>
      <c r="U252" s="44"/>
      <c r="V252" s="45"/>
      <c r="W252" s="96"/>
      <c r="X252" s="97"/>
      <c r="Y252" s="97"/>
      <c r="Z252" s="98"/>
      <c r="AA252" s="167"/>
      <c r="AB252" s="168"/>
      <c r="AC252" s="168"/>
      <c r="AD252" s="168"/>
      <c r="AE252" s="169"/>
      <c r="AF252" s="92"/>
      <c r="AG252" s="90"/>
      <c r="AH252" s="90"/>
      <c r="AI252" s="90"/>
      <c r="AJ252" s="90"/>
      <c r="AK252" s="90"/>
      <c r="AL252" s="90"/>
      <c r="AM252" s="101"/>
      <c r="AN252" s="102"/>
      <c r="AO252" s="102"/>
      <c r="AP252" s="103"/>
      <c r="AQ252" s="89"/>
      <c r="AR252" s="90"/>
      <c r="AS252" s="90"/>
      <c r="AT252" s="90"/>
      <c r="AU252" s="90"/>
      <c r="AV252" s="90"/>
      <c r="AW252" s="91"/>
      <c r="BC252" s="33"/>
    </row>
    <row r="253" spans="1:55" ht="27" customHeight="1">
      <c r="A253" s="89">
        <v>118</v>
      </c>
      <c r="B253" s="104"/>
      <c r="C253" s="93" t="s">
        <v>406</v>
      </c>
      <c r="D253" s="94"/>
      <c r="E253" s="94"/>
      <c r="F253" s="94"/>
      <c r="G253" s="94"/>
      <c r="H253" s="94"/>
      <c r="I253" s="94"/>
      <c r="J253" s="94"/>
      <c r="K253" s="94"/>
      <c r="L253" s="95"/>
      <c r="M253" s="37"/>
      <c r="N253" s="37"/>
      <c r="O253" s="37"/>
      <c r="P253" s="96"/>
      <c r="Q253" s="97"/>
      <c r="R253" s="97"/>
      <c r="S253" s="98"/>
      <c r="T253" s="43"/>
      <c r="U253" s="44"/>
      <c r="V253" s="45"/>
      <c r="W253" s="96"/>
      <c r="X253" s="97"/>
      <c r="Y253" s="97"/>
      <c r="Z253" s="98"/>
      <c r="AA253" s="167"/>
      <c r="AB253" s="168"/>
      <c r="AC253" s="168"/>
      <c r="AD253" s="168"/>
      <c r="AE253" s="169"/>
      <c r="AF253" s="92"/>
      <c r="AG253" s="90"/>
      <c r="AH253" s="90"/>
      <c r="AI253" s="90"/>
      <c r="AJ253" s="90"/>
      <c r="AK253" s="90"/>
      <c r="AL253" s="90"/>
      <c r="AM253" s="101"/>
      <c r="AN253" s="102"/>
      <c r="AO253" s="102"/>
      <c r="AP253" s="103"/>
      <c r="AQ253" s="89"/>
      <c r="AR253" s="90"/>
      <c r="AS253" s="90"/>
      <c r="AT253" s="90"/>
      <c r="AU253" s="90"/>
      <c r="AV253" s="90"/>
      <c r="AW253" s="91"/>
      <c r="BC253" s="33"/>
    </row>
    <row r="254" spans="1:55" ht="27" customHeight="1">
      <c r="A254" s="89">
        <v>119</v>
      </c>
      <c r="B254" s="104"/>
      <c r="C254" s="93" t="s">
        <v>405</v>
      </c>
      <c r="D254" s="94"/>
      <c r="E254" s="94"/>
      <c r="F254" s="94"/>
      <c r="G254" s="94"/>
      <c r="H254" s="94"/>
      <c r="I254" s="94"/>
      <c r="J254" s="94"/>
      <c r="K254" s="94"/>
      <c r="L254" s="95"/>
      <c r="M254" s="37"/>
      <c r="N254" s="37"/>
      <c r="O254" s="37"/>
      <c r="P254" s="96"/>
      <c r="Q254" s="97"/>
      <c r="R254" s="97"/>
      <c r="S254" s="98"/>
      <c r="T254" s="43"/>
      <c r="U254" s="44"/>
      <c r="V254" s="45"/>
      <c r="W254" s="96"/>
      <c r="X254" s="97"/>
      <c r="Y254" s="97"/>
      <c r="Z254" s="98"/>
      <c r="AA254" s="167"/>
      <c r="AB254" s="168"/>
      <c r="AC254" s="168"/>
      <c r="AD254" s="168"/>
      <c r="AE254" s="169"/>
      <c r="AF254" s="92"/>
      <c r="AG254" s="90"/>
      <c r="AH254" s="90"/>
      <c r="AI254" s="90"/>
      <c r="AJ254" s="90"/>
      <c r="AK254" s="90"/>
      <c r="AL254" s="90"/>
      <c r="AM254" s="101"/>
      <c r="AN254" s="102"/>
      <c r="AO254" s="102"/>
      <c r="AP254" s="103"/>
      <c r="AQ254" s="89" t="s">
        <v>118</v>
      </c>
      <c r="AR254" s="90"/>
      <c r="AS254" s="90"/>
      <c r="AT254" s="90"/>
      <c r="AU254" s="90"/>
      <c r="AV254" s="90"/>
      <c r="AW254" s="91"/>
      <c r="BC254" s="33"/>
    </row>
    <row r="255" spans="1:55" ht="27" customHeight="1">
      <c r="A255" s="89">
        <v>120</v>
      </c>
      <c r="B255" s="104"/>
      <c r="C255" s="93" t="s">
        <v>396</v>
      </c>
      <c r="D255" s="94"/>
      <c r="E255" s="94"/>
      <c r="F255" s="94"/>
      <c r="G255" s="94"/>
      <c r="H255" s="94"/>
      <c r="I255" s="94"/>
      <c r="J255" s="94"/>
      <c r="K255" s="94"/>
      <c r="L255" s="95"/>
      <c r="M255" s="37"/>
      <c r="N255" s="37"/>
      <c r="O255" s="37"/>
      <c r="P255" s="96"/>
      <c r="Q255" s="97"/>
      <c r="R255" s="97"/>
      <c r="S255" s="98"/>
      <c r="T255" s="43"/>
      <c r="U255" s="44"/>
      <c r="V255" s="45"/>
      <c r="W255" s="96"/>
      <c r="X255" s="97"/>
      <c r="Y255" s="97"/>
      <c r="Z255" s="98"/>
      <c r="AA255" s="167"/>
      <c r="AB255" s="168"/>
      <c r="AC255" s="168"/>
      <c r="AD255" s="168"/>
      <c r="AE255" s="169"/>
      <c r="AF255" s="92"/>
      <c r="AG255" s="90"/>
      <c r="AH255" s="90"/>
      <c r="AI255" s="90"/>
      <c r="AJ255" s="90"/>
      <c r="AK255" s="90"/>
      <c r="AL255" s="90"/>
      <c r="AM255" s="101"/>
      <c r="AN255" s="102"/>
      <c r="AO255" s="102"/>
      <c r="AP255" s="103"/>
      <c r="AQ255" s="89" t="s">
        <v>118</v>
      </c>
      <c r="AR255" s="90"/>
      <c r="AS255" s="90"/>
      <c r="AT255" s="90"/>
      <c r="AU255" s="90"/>
      <c r="AV255" s="90"/>
      <c r="AW255" s="91"/>
      <c r="BC255" s="33"/>
    </row>
    <row r="256" spans="1:55" ht="27" customHeight="1">
      <c r="A256" s="89">
        <v>121</v>
      </c>
      <c r="B256" s="104"/>
      <c r="C256" s="93" t="s">
        <v>397</v>
      </c>
      <c r="D256" s="94"/>
      <c r="E256" s="94"/>
      <c r="F256" s="94"/>
      <c r="G256" s="94"/>
      <c r="H256" s="94"/>
      <c r="I256" s="94"/>
      <c r="J256" s="94"/>
      <c r="K256" s="94"/>
      <c r="L256" s="95"/>
      <c r="M256" s="37"/>
      <c r="N256" s="37"/>
      <c r="O256" s="37"/>
      <c r="P256" s="96"/>
      <c r="Q256" s="97"/>
      <c r="R256" s="97"/>
      <c r="S256" s="98"/>
      <c r="T256" s="43"/>
      <c r="U256" s="44"/>
      <c r="V256" s="45"/>
      <c r="W256" s="96"/>
      <c r="X256" s="97"/>
      <c r="Y256" s="97"/>
      <c r="Z256" s="98"/>
      <c r="AA256" s="167"/>
      <c r="AB256" s="168"/>
      <c r="AC256" s="168"/>
      <c r="AD256" s="168"/>
      <c r="AE256" s="169"/>
      <c r="AF256" s="92"/>
      <c r="AG256" s="90"/>
      <c r="AH256" s="90"/>
      <c r="AI256" s="90"/>
      <c r="AJ256" s="90"/>
      <c r="AK256" s="90"/>
      <c r="AL256" s="90"/>
      <c r="AM256" s="101"/>
      <c r="AN256" s="102"/>
      <c r="AO256" s="102"/>
      <c r="AP256" s="103"/>
      <c r="AQ256" s="89" t="s">
        <v>118</v>
      </c>
      <c r="AR256" s="90"/>
      <c r="AS256" s="90"/>
      <c r="AT256" s="90"/>
      <c r="AU256" s="90"/>
      <c r="AV256" s="90"/>
      <c r="AW256" s="91"/>
      <c r="BC256" s="33"/>
    </row>
    <row r="257" spans="1:55" ht="27" customHeight="1">
      <c r="A257" s="89">
        <v>122</v>
      </c>
      <c r="B257" s="104"/>
      <c r="C257" s="93" t="s">
        <v>398</v>
      </c>
      <c r="D257" s="94"/>
      <c r="E257" s="94"/>
      <c r="F257" s="94"/>
      <c r="G257" s="94"/>
      <c r="H257" s="94"/>
      <c r="I257" s="94"/>
      <c r="J257" s="94"/>
      <c r="K257" s="94"/>
      <c r="L257" s="95"/>
      <c r="M257" s="37"/>
      <c r="N257" s="37"/>
      <c r="O257" s="37"/>
      <c r="P257" s="96"/>
      <c r="Q257" s="97"/>
      <c r="R257" s="97"/>
      <c r="S257" s="98"/>
      <c r="T257" s="43"/>
      <c r="U257" s="44"/>
      <c r="V257" s="45"/>
      <c r="W257" s="96"/>
      <c r="X257" s="97"/>
      <c r="Y257" s="97"/>
      <c r="Z257" s="98"/>
      <c r="AA257" s="167"/>
      <c r="AB257" s="168"/>
      <c r="AC257" s="168"/>
      <c r="AD257" s="168"/>
      <c r="AE257" s="169"/>
      <c r="AF257" s="92"/>
      <c r="AG257" s="90"/>
      <c r="AH257" s="90"/>
      <c r="AI257" s="90"/>
      <c r="AJ257" s="90"/>
      <c r="AK257" s="90"/>
      <c r="AL257" s="90"/>
      <c r="AM257" s="101"/>
      <c r="AN257" s="102"/>
      <c r="AO257" s="102"/>
      <c r="AP257" s="103"/>
      <c r="AQ257" s="89" t="s">
        <v>118</v>
      </c>
      <c r="AR257" s="90"/>
      <c r="AS257" s="90"/>
      <c r="AT257" s="90"/>
      <c r="AU257" s="90"/>
      <c r="AV257" s="90"/>
      <c r="AW257" s="91"/>
      <c r="BC257" s="33"/>
    </row>
    <row r="258" spans="1:55" ht="27" customHeight="1">
      <c r="A258" s="89">
        <v>123</v>
      </c>
      <c r="B258" s="104"/>
      <c r="C258" s="93" t="s">
        <v>400</v>
      </c>
      <c r="D258" s="94"/>
      <c r="E258" s="94"/>
      <c r="F258" s="94"/>
      <c r="G258" s="94"/>
      <c r="H258" s="94"/>
      <c r="I258" s="94"/>
      <c r="J258" s="94"/>
      <c r="K258" s="94"/>
      <c r="L258" s="95"/>
      <c r="M258" s="37"/>
      <c r="N258" s="37"/>
      <c r="O258" s="37"/>
      <c r="P258" s="96"/>
      <c r="Q258" s="97"/>
      <c r="R258" s="97"/>
      <c r="S258" s="98"/>
      <c r="T258" s="43"/>
      <c r="U258" s="44"/>
      <c r="V258" s="45"/>
      <c r="W258" s="96"/>
      <c r="X258" s="97"/>
      <c r="Y258" s="97"/>
      <c r="Z258" s="98"/>
      <c r="AA258" s="167"/>
      <c r="AB258" s="168"/>
      <c r="AC258" s="168"/>
      <c r="AD258" s="168"/>
      <c r="AE258" s="169"/>
      <c r="AF258" s="92"/>
      <c r="AG258" s="90"/>
      <c r="AH258" s="90"/>
      <c r="AI258" s="90"/>
      <c r="AJ258" s="90"/>
      <c r="AK258" s="90"/>
      <c r="AL258" s="90"/>
      <c r="AM258" s="101"/>
      <c r="AN258" s="102"/>
      <c r="AO258" s="102"/>
      <c r="AP258" s="103"/>
      <c r="AQ258" s="89" t="s">
        <v>118</v>
      </c>
      <c r="AR258" s="90"/>
      <c r="AS258" s="90"/>
      <c r="AT258" s="90"/>
      <c r="AU258" s="90"/>
      <c r="AV258" s="90"/>
      <c r="AW258" s="91"/>
      <c r="BC258" s="33"/>
    </row>
    <row r="259" spans="1:55" ht="27" customHeight="1">
      <c r="A259" s="89">
        <v>124</v>
      </c>
      <c r="B259" s="104"/>
      <c r="C259" s="93" t="s">
        <v>404</v>
      </c>
      <c r="D259" s="94"/>
      <c r="E259" s="94"/>
      <c r="F259" s="94"/>
      <c r="G259" s="94"/>
      <c r="H259" s="94"/>
      <c r="I259" s="94"/>
      <c r="J259" s="94"/>
      <c r="K259" s="94"/>
      <c r="L259" s="95"/>
      <c r="M259" s="37"/>
      <c r="N259" s="37"/>
      <c r="O259" s="37"/>
      <c r="P259" s="96"/>
      <c r="Q259" s="97"/>
      <c r="R259" s="97"/>
      <c r="S259" s="98"/>
      <c r="T259" s="43"/>
      <c r="U259" s="44"/>
      <c r="V259" s="45"/>
      <c r="W259" s="96"/>
      <c r="X259" s="97"/>
      <c r="Y259" s="97"/>
      <c r="Z259" s="98"/>
      <c r="AA259" s="167"/>
      <c r="AB259" s="168"/>
      <c r="AC259" s="168"/>
      <c r="AD259" s="168"/>
      <c r="AE259" s="169"/>
      <c r="AF259" s="92"/>
      <c r="AG259" s="90"/>
      <c r="AH259" s="90"/>
      <c r="AI259" s="90"/>
      <c r="AJ259" s="90"/>
      <c r="AK259" s="90"/>
      <c r="AL259" s="90"/>
      <c r="AM259" s="101"/>
      <c r="AN259" s="102"/>
      <c r="AO259" s="102"/>
      <c r="AP259" s="103"/>
      <c r="AQ259" s="89" t="s">
        <v>118</v>
      </c>
      <c r="AR259" s="90"/>
      <c r="AS259" s="90"/>
      <c r="AT259" s="90"/>
      <c r="AU259" s="90"/>
      <c r="AV259" s="90"/>
      <c r="AW259" s="91"/>
      <c r="BC259" s="33"/>
    </row>
    <row r="260" spans="1:55" ht="27" customHeight="1">
      <c r="A260" s="89">
        <v>125</v>
      </c>
      <c r="B260" s="104"/>
      <c r="C260" s="93" t="s">
        <v>408</v>
      </c>
      <c r="D260" s="94"/>
      <c r="E260" s="94"/>
      <c r="F260" s="94"/>
      <c r="G260" s="94"/>
      <c r="H260" s="94"/>
      <c r="I260" s="94"/>
      <c r="J260" s="94"/>
      <c r="K260" s="94"/>
      <c r="L260" s="95"/>
      <c r="M260" s="37"/>
      <c r="N260" s="37"/>
      <c r="O260" s="37"/>
      <c r="P260" s="96"/>
      <c r="Q260" s="97"/>
      <c r="R260" s="97"/>
      <c r="S260" s="98"/>
      <c r="T260" s="43"/>
      <c r="U260" s="87"/>
      <c r="V260" s="88"/>
      <c r="W260" s="96"/>
      <c r="X260" s="97"/>
      <c r="Y260" s="97"/>
      <c r="Z260" s="98"/>
      <c r="AA260" s="167"/>
      <c r="AB260" s="168"/>
      <c r="AC260" s="168"/>
      <c r="AD260" s="168"/>
      <c r="AE260" s="169"/>
      <c r="AF260" s="92"/>
      <c r="AG260" s="90"/>
      <c r="AH260" s="90"/>
      <c r="AI260" s="90"/>
      <c r="AJ260" s="90"/>
      <c r="AK260" s="90"/>
      <c r="AL260" s="90"/>
      <c r="AM260" s="101"/>
      <c r="AN260" s="102"/>
      <c r="AO260" s="102"/>
      <c r="AP260" s="103"/>
      <c r="AQ260" s="89" t="s">
        <v>118</v>
      </c>
      <c r="AR260" s="90"/>
      <c r="AS260" s="90"/>
      <c r="AT260" s="90"/>
      <c r="AU260" s="90"/>
      <c r="AV260" s="90"/>
      <c r="AW260" s="91"/>
      <c r="BC260" s="33"/>
    </row>
    <row r="261" spans="1:55" ht="12.75" customHeight="1">
      <c r="A261" s="31" t="s">
        <v>168</v>
      </c>
      <c r="AF261" s="58"/>
      <c r="AM261" s="59"/>
      <c r="BC261" s="62"/>
    </row>
    <row r="262" spans="1:55" ht="12.75" customHeight="1">
      <c r="AF262" s="58"/>
      <c r="AM262" s="59"/>
      <c r="BC262" s="61"/>
    </row>
    <row r="263" spans="1:55" ht="12.75" customHeight="1">
      <c r="AF263" s="58"/>
      <c r="AM263" s="59"/>
      <c r="BC263" s="63"/>
    </row>
    <row r="264" spans="1:55" ht="12.75" customHeight="1">
      <c r="AF264" s="58"/>
      <c r="AM264" s="59"/>
      <c r="BC264" s="63"/>
    </row>
    <row r="265" spans="1:55" ht="12.75" customHeight="1">
      <c r="AF265" s="58"/>
      <c r="AM265" s="59"/>
      <c r="BC265" s="63"/>
    </row>
    <row r="266" spans="1:55" ht="12.75" customHeight="1">
      <c r="AF266" s="58"/>
      <c r="AM266" s="59"/>
      <c r="BC266" s="63"/>
    </row>
    <row r="267" spans="1:55" ht="12.75" customHeight="1">
      <c r="AF267" s="58"/>
      <c r="AR267" s="59"/>
      <c r="BC267" s="63"/>
    </row>
    <row r="268" spans="1:55" ht="12.75" customHeight="1">
      <c r="AF268" s="58"/>
      <c r="AR268" s="59"/>
      <c r="BC268" s="63"/>
    </row>
    <row r="269" spans="1:55" ht="12.75" customHeight="1">
      <c r="AR269" s="59"/>
      <c r="BC269" s="63"/>
    </row>
    <row r="270" spans="1:55" ht="12.75" customHeight="1">
      <c r="AR270" s="59"/>
      <c r="BC270" s="63"/>
    </row>
    <row r="271" spans="1:55" ht="12.75" customHeight="1">
      <c r="AR271" s="59"/>
      <c r="BC271" s="63"/>
    </row>
    <row r="272" spans="1:55" ht="12.75" customHeight="1">
      <c r="AR272" s="59"/>
      <c r="BC272" s="63"/>
    </row>
    <row r="273" spans="44:55" ht="12.75" customHeight="1">
      <c r="AR273" s="59"/>
      <c r="BC273" s="63"/>
    </row>
    <row r="274" spans="44:55" ht="12.75" customHeight="1">
      <c r="AR274" s="59"/>
      <c r="BC274" s="64"/>
    </row>
    <row r="275" spans="44:55" ht="12.75" customHeight="1">
      <c r="AR275" s="59"/>
      <c r="BC275" s="63"/>
    </row>
    <row r="276" spans="44:55" ht="12.75" customHeight="1">
      <c r="AR276" s="60"/>
    </row>
    <row r="277" spans="44:55" ht="12.75" customHeight="1"/>
    <row r="278" spans="44:55" ht="12.75" customHeight="1"/>
    <row r="279" spans="44:55" ht="12.75" customHeight="1"/>
    <row r="280" spans="44:55" ht="12.75" customHeight="1"/>
    <row r="281" spans="44:55" ht="12.75" customHeight="1"/>
    <row r="282" spans="44:55" ht="12.75" customHeight="1"/>
    <row r="283" spans="44:55" ht="12.75" customHeight="1"/>
    <row r="284" spans="44:55" ht="12.75" customHeight="1"/>
    <row r="285" spans="44:55" ht="12.75" customHeight="1"/>
    <row r="286" spans="44:55" ht="12.75" customHeight="1"/>
    <row r="287" spans="44:55" ht="12.75" customHeight="1"/>
    <row r="288" spans="44:55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</sheetData>
  <mergeCells count="1261">
    <mergeCell ref="A129:B129"/>
    <mergeCell ref="C129:L129"/>
    <mergeCell ref="A260:B260"/>
    <mergeCell ref="C260:L260"/>
    <mergeCell ref="P260:S260"/>
    <mergeCell ref="W260:Z260"/>
    <mergeCell ref="AA260:AE260"/>
    <mergeCell ref="AF260:AL260"/>
    <mergeCell ref="AM260:AP260"/>
    <mergeCell ref="AQ260:AW260"/>
    <mergeCell ref="P257:S257"/>
    <mergeCell ref="W257:Z257"/>
    <mergeCell ref="AA257:AE257"/>
    <mergeCell ref="AF257:AL257"/>
    <mergeCell ref="AM257:AP257"/>
    <mergeCell ref="AQ257:AW257"/>
    <mergeCell ref="C258:L258"/>
    <mergeCell ref="P258:S258"/>
    <mergeCell ref="W258:Z258"/>
    <mergeCell ref="AA258:AE258"/>
    <mergeCell ref="AF258:AL258"/>
    <mergeCell ref="AM258:AP258"/>
    <mergeCell ref="AQ258:AW258"/>
    <mergeCell ref="P259:S259"/>
    <mergeCell ref="W259:Z259"/>
    <mergeCell ref="AA259:AE259"/>
    <mergeCell ref="AF259:AL259"/>
    <mergeCell ref="AM259:AP259"/>
    <mergeCell ref="AQ259:AW259"/>
    <mergeCell ref="P254:S254"/>
    <mergeCell ref="W254:Z254"/>
    <mergeCell ref="AA254:AE254"/>
    <mergeCell ref="AF254:AL254"/>
    <mergeCell ref="AM254:AP254"/>
    <mergeCell ref="AQ254:AW254"/>
    <mergeCell ref="P255:S255"/>
    <mergeCell ref="W255:Z255"/>
    <mergeCell ref="AA255:AE255"/>
    <mergeCell ref="AF255:AL255"/>
    <mergeCell ref="AM255:AP255"/>
    <mergeCell ref="AQ255:AW255"/>
    <mergeCell ref="P256:S256"/>
    <mergeCell ref="W256:Z256"/>
    <mergeCell ref="AA256:AE256"/>
    <mergeCell ref="AF256:AL256"/>
    <mergeCell ref="AM256:AP256"/>
    <mergeCell ref="AQ256:AW256"/>
    <mergeCell ref="P251:S251"/>
    <mergeCell ref="W251:Z251"/>
    <mergeCell ref="AA251:AE251"/>
    <mergeCell ref="AF251:AL251"/>
    <mergeCell ref="AM251:AP251"/>
    <mergeCell ref="AQ251:AW251"/>
    <mergeCell ref="P252:S252"/>
    <mergeCell ref="W252:Z252"/>
    <mergeCell ref="AA252:AE252"/>
    <mergeCell ref="AF252:AL252"/>
    <mergeCell ref="AM252:AP252"/>
    <mergeCell ref="AQ252:AW252"/>
    <mergeCell ref="P253:S253"/>
    <mergeCell ref="W253:Z253"/>
    <mergeCell ref="AA253:AE253"/>
    <mergeCell ref="AF253:AL253"/>
    <mergeCell ref="AM253:AP253"/>
    <mergeCell ref="AQ253:AW253"/>
    <mergeCell ref="P248:S248"/>
    <mergeCell ref="W248:Z248"/>
    <mergeCell ref="AA248:AE248"/>
    <mergeCell ref="AF248:AL248"/>
    <mergeCell ref="AM248:AP248"/>
    <mergeCell ref="AQ248:AW248"/>
    <mergeCell ref="P249:S249"/>
    <mergeCell ref="W249:Z249"/>
    <mergeCell ref="AA249:AE249"/>
    <mergeCell ref="AF249:AL249"/>
    <mergeCell ref="AM249:AP249"/>
    <mergeCell ref="AQ249:AW249"/>
    <mergeCell ref="P250:S250"/>
    <mergeCell ref="W250:Z250"/>
    <mergeCell ref="AA250:AE250"/>
    <mergeCell ref="AF250:AL250"/>
    <mergeCell ref="AM250:AP250"/>
    <mergeCell ref="AQ250:AW250"/>
    <mergeCell ref="A251:B251"/>
    <mergeCell ref="C251:L251"/>
    <mergeCell ref="A252:B252"/>
    <mergeCell ref="C252:L252"/>
    <mergeCell ref="A253:B253"/>
    <mergeCell ref="C253:L253"/>
    <mergeCell ref="A254:B254"/>
    <mergeCell ref="C254:L254"/>
    <mergeCell ref="A255:B255"/>
    <mergeCell ref="C255:L255"/>
    <mergeCell ref="A256:B256"/>
    <mergeCell ref="C256:L256"/>
    <mergeCell ref="A257:B257"/>
    <mergeCell ref="C257:L257"/>
    <mergeCell ref="A258:B258"/>
    <mergeCell ref="A259:B259"/>
    <mergeCell ref="C259:L259"/>
    <mergeCell ref="C123:L123"/>
    <mergeCell ref="A124:B124"/>
    <mergeCell ref="C124:L124"/>
    <mergeCell ref="A125:B125"/>
    <mergeCell ref="C125:L125"/>
    <mergeCell ref="A126:B126"/>
    <mergeCell ref="C126:L126"/>
    <mergeCell ref="A127:B127"/>
    <mergeCell ref="A128:B128"/>
    <mergeCell ref="C128:L128"/>
    <mergeCell ref="C120:L120"/>
    <mergeCell ref="A248:B248"/>
    <mergeCell ref="C248:L248"/>
    <mergeCell ref="A249:B249"/>
    <mergeCell ref="C249:L249"/>
    <mergeCell ref="A250:B250"/>
    <mergeCell ref="C250:L250"/>
    <mergeCell ref="A245:B245"/>
    <mergeCell ref="C245:L245"/>
    <mergeCell ref="A239:B239"/>
    <mergeCell ref="C239:L239"/>
    <mergeCell ref="A217:B217"/>
    <mergeCell ref="C217:L217"/>
    <mergeCell ref="A213:B213"/>
    <mergeCell ref="C213:L213"/>
    <mergeCell ref="A209:B209"/>
    <mergeCell ref="C209:L209"/>
    <mergeCell ref="A205:B205"/>
    <mergeCell ref="C205:L205"/>
    <mergeCell ref="C150:L150"/>
    <mergeCell ref="A153:B153"/>
    <mergeCell ref="C153:L153"/>
    <mergeCell ref="P245:S245"/>
    <mergeCell ref="W245:Z245"/>
    <mergeCell ref="AA245:AE245"/>
    <mergeCell ref="AF245:AL245"/>
    <mergeCell ref="AM245:AP245"/>
    <mergeCell ref="AQ245:AW245"/>
    <mergeCell ref="A247:B247"/>
    <mergeCell ref="C247:L247"/>
    <mergeCell ref="P247:S247"/>
    <mergeCell ref="W247:Z247"/>
    <mergeCell ref="AA247:AE247"/>
    <mergeCell ref="AF247:AL247"/>
    <mergeCell ref="AM247:AP247"/>
    <mergeCell ref="AQ247:AW247"/>
    <mergeCell ref="A243:B243"/>
    <mergeCell ref="C243:L243"/>
    <mergeCell ref="P243:S243"/>
    <mergeCell ref="W243:Z243"/>
    <mergeCell ref="AA243:AE243"/>
    <mergeCell ref="AF243:AL243"/>
    <mergeCell ref="AM243:AP243"/>
    <mergeCell ref="AQ243:AW243"/>
    <mergeCell ref="A246:B246"/>
    <mergeCell ref="C246:L246"/>
    <mergeCell ref="P246:S246"/>
    <mergeCell ref="W246:Z246"/>
    <mergeCell ref="AA246:AE246"/>
    <mergeCell ref="AF246:AL246"/>
    <mergeCell ref="AM246:AP246"/>
    <mergeCell ref="AQ246:AW246"/>
    <mergeCell ref="A244:B244"/>
    <mergeCell ref="C244:L244"/>
    <mergeCell ref="P244:S244"/>
    <mergeCell ref="W244:Z244"/>
    <mergeCell ref="AA244:AE244"/>
    <mergeCell ref="AF244:AL244"/>
    <mergeCell ref="AM244:AP244"/>
    <mergeCell ref="AQ244:AW244"/>
    <mergeCell ref="A241:B241"/>
    <mergeCell ref="C241:L241"/>
    <mergeCell ref="P241:S241"/>
    <mergeCell ref="W241:Z241"/>
    <mergeCell ref="AA241:AE241"/>
    <mergeCell ref="AM241:AP241"/>
    <mergeCell ref="AQ241:AW241"/>
    <mergeCell ref="A242:B242"/>
    <mergeCell ref="C242:L242"/>
    <mergeCell ref="P242:S242"/>
    <mergeCell ref="W242:Z242"/>
    <mergeCell ref="AA242:AE242"/>
    <mergeCell ref="AM242:AP242"/>
    <mergeCell ref="AQ242:AW242"/>
    <mergeCell ref="P239:S239"/>
    <mergeCell ref="W239:Z239"/>
    <mergeCell ref="AF239:AL239"/>
    <mergeCell ref="AM239:AP239"/>
    <mergeCell ref="AQ239:AW239"/>
    <mergeCell ref="A240:B240"/>
    <mergeCell ref="C240:L240"/>
    <mergeCell ref="P240:S240"/>
    <mergeCell ref="W240:Z240"/>
    <mergeCell ref="AA240:AE240"/>
    <mergeCell ref="AM240:AP240"/>
    <mergeCell ref="AQ240:AW240"/>
    <mergeCell ref="AQ192:AW192"/>
    <mergeCell ref="A108:B108"/>
    <mergeCell ref="C108:L108"/>
    <mergeCell ref="A109:B109"/>
    <mergeCell ref="C109:L109"/>
    <mergeCell ref="A110:B110"/>
    <mergeCell ref="C110:L110"/>
    <mergeCell ref="A111:B111"/>
    <mergeCell ref="C111:L111"/>
    <mergeCell ref="A112:B112"/>
    <mergeCell ref="C112:L112"/>
    <mergeCell ref="A116:B116"/>
    <mergeCell ref="C116:L116"/>
    <mergeCell ref="A115:B115"/>
    <mergeCell ref="C115:L115"/>
    <mergeCell ref="M134:O134"/>
    <mergeCell ref="A136:B136"/>
    <mergeCell ref="C136:L136"/>
    <mergeCell ref="AA136:AE136"/>
    <mergeCell ref="AF136:AL136"/>
    <mergeCell ref="AM136:AP136"/>
    <mergeCell ref="AQ136:AW136"/>
    <mergeCell ref="A113:B113"/>
    <mergeCell ref="C113:L113"/>
    <mergeCell ref="A114:B114"/>
    <mergeCell ref="C114:L114"/>
    <mergeCell ref="A238:B238"/>
    <mergeCell ref="C238:L238"/>
    <mergeCell ref="P238:S238"/>
    <mergeCell ref="W238:Z238"/>
    <mergeCell ref="AA238:AE238"/>
    <mergeCell ref="AF238:AL238"/>
    <mergeCell ref="AM238:AP238"/>
    <mergeCell ref="AQ238:AW238"/>
    <mergeCell ref="P236:S236"/>
    <mergeCell ref="W236:Z236"/>
    <mergeCell ref="AA236:AE236"/>
    <mergeCell ref="AF236:AL236"/>
    <mergeCell ref="AM236:AP236"/>
    <mergeCell ref="AQ236:AW236"/>
    <mergeCell ref="A237:B237"/>
    <mergeCell ref="C237:L237"/>
    <mergeCell ref="P237:S237"/>
    <mergeCell ref="W237:Z237"/>
    <mergeCell ref="AA237:AE237"/>
    <mergeCell ref="AF237:AL237"/>
    <mergeCell ref="AM237:AP237"/>
    <mergeCell ref="AQ237:AW237"/>
    <mergeCell ref="A236:B236"/>
    <mergeCell ref="C236:L236"/>
    <mergeCell ref="A227:B227"/>
    <mergeCell ref="C227:L227"/>
    <mergeCell ref="P136:S136"/>
    <mergeCell ref="P234:S234"/>
    <mergeCell ref="W234:Z234"/>
    <mergeCell ref="P230:S230"/>
    <mergeCell ref="W230:Z230"/>
    <mergeCell ref="P227:S227"/>
    <mergeCell ref="W227:Z227"/>
    <mergeCell ref="P217:S217"/>
    <mergeCell ref="W217:Z217"/>
    <mergeCell ref="P213:S213"/>
    <mergeCell ref="W213:Z213"/>
    <mergeCell ref="P209:S209"/>
    <mergeCell ref="W209:Z209"/>
    <mergeCell ref="P205:S205"/>
    <mergeCell ref="W205:Z205"/>
    <mergeCell ref="A201:B201"/>
    <mergeCell ref="C201:L201"/>
    <mergeCell ref="P201:S201"/>
    <mergeCell ref="W201:Z201"/>
    <mergeCell ref="A197:B197"/>
    <mergeCell ref="C197:L197"/>
    <mergeCell ref="P197:S197"/>
    <mergeCell ref="W197:Z197"/>
    <mergeCell ref="A144:B144"/>
    <mergeCell ref="C144:L144"/>
    <mergeCell ref="P144:S144"/>
    <mergeCell ref="W144:Z144"/>
    <mergeCell ref="A147:B147"/>
    <mergeCell ref="C147:L147"/>
    <mergeCell ref="P147:S147"/>
    <mergeCell ref="W147:Z147"/>
    <mergeCell ref="A150:B150"/>
    <mergeCell ref="AA234:AE234"/>
    <mergeCell ref="AF234:AL234"/>
    <mergeCell ref="AM234:AP234"/>
    <mergeCell ref="AQ234:AW234"/>
    <mergeCell ref="A235:B235"/>
    <mergeCell ref="C235:L235"/>
    <mergeCell ref="P235:S235"/>
    <mergeCell ref="W235:Z235"/>
    <mergeCell ref="AA235:AE235"/>
    <mergeCell ref="AF235:AL235"/>
    <mergeCell ref="AM235:AP235"/>
    <mergeCell ref="AQ235:AW235"/>
    <mergeCell ref="A232:B232"/>
    <mergeCell ref="C232:L232"/>
    <mergeCell ref="P232:S232"/>
    <mergeCell ref="W232:Z232"/>
    <mergeCell ref="AA232:AE232"/>
    <mergeCell ref="AF232:AL232"/>
    <mergeCell ref="AM232:AP232"/>
    <mergeCell ref="AQ232:AW232"/>
    <mergeCell ref="A233:B233"/>
    <mergeCell ref="C233:L233"/>
    <mergeCell ref="P233:S233"/>
    <mergeCell ref="W233:Z233"/>
    <mergeCell ref="AA233:AE233"/>
    <mergeCell ref="AF233:AL233"/>
    <mergeCell ref="AM233:AP233"/>
    <mergeCell ref="AQ233:AW233"/>
    <mergeCell ref="A234:B234"/>
    <mergeCell ref="C234:L234"/>
    <mergeCell ref="AA230:AE230"/>
    <mergeCell ref="AF230:AL230"/>
    <mergeCell ref="AM230:AP230"/>
    <mergeCell ref="AQ230:AW230"/>
    <mergeCell ref="A231:B231"/>
    <mergeCell ref="C231:L231"/>
    <mergeCell ref="P231:S231"/>
    <mergeCell ref="W231:Z231"/>
    <mergeCell ref="AA231:AE231"/>
    <mergeCell ref="AF231:AL231"/>
    <mergeCell ref="AM231:AP231"/>
    <mergeCell ref="AQ231:AW231"/>
    <mergeCell ref="A228:B228"/>
    <mergeCell ref="C228:L228"/>
    <mergeCell ref="P228:S228"/>
    <mergeCell ref="W228:Z228"/>
    <mergeCell ref="AA228:AE228"/>
    <mergeCell ref="AF228:AL228"/>
    <mergeCell ref="AM228:AP228"/>
    <mergeCell ref="AQ228:AW228"/>
    <mergeCell ref="A229:B229"/>
    <mergeCell ref="C229:L229"/>
    <mergeCell ref="P229:S229"/>
    <mergeCell ref="W229:Z229"/>
    <mergeCell ref="AA229:AE229"/>
    <mergeCell ref="AF229:AL229"/>
    <mergeCell ref="AM229:AP229"/>
    <mergeCell ref="AQ229:AW229"/>
    <mergeCell ref="A230:B230"/>
    <mergeCell ref="C230:L230"/>
    <mergeCell ref="AA227:AE227"/>
    <mergeCell ref="AF227:AL227"/>
    <mergeCell ref="AM227:AP227"/>
    <mergeCell ref="AQ227:AW227"/>
    <mergeCell ref="A226:B226"/>
    <mergeCell ref="AQ142:AW142"/>
    <mergeCell ref="AQ164:AW164"/>
    <mergeCell ref="A225:B225"/>
    <mergeCell ref="C225:L225"/>
    <mergeCell ref="P225:S225"/>
    <mergeCell ref="W225:Z225"/>
    <mergeCell ref="AA225:AE225"/>
    <mergeCell ref="AF225:AL225"/>
    <mergeCell ref="AM225:AP225"/>
    <mergeCell ref="AQ225:AW225"/>
    <mergeCell ref="A221:B221"/>
    <mergeCell ref="C221:L221"/>
    <mergeCell ref="P221:S221"/>
    <mergeCell ref="W221:Z221"/>
    <mergeCell ref="AA221:AE221"/>
    <mergeCell ref="AF221:AL221"/>
    <mergeCell ref="AM221:AP221"/>
    <mergeCell ref="AQ221:AW221"/>
    <mergeCell ref="A222:B222"/>
    <mergeCell ref="C222:L222"/>
    <mergeCell ref="P222:S222"/>
    <mergeCell ref="W222:Z222"/>
    <mergeCell ref="AA222:AE222"/>
    <mergeCell ref="AQ193:AW193"/>
    <mergeCell ref="C226:L226"/>
    <mergeCell ref="P226:S226"/>
    <mergeCell ref="W226:Z226"/>
    <mergeCell ref="AA226:AE226"/>
    <mergeCell ref="AF226:AL226"/>
    <mergeCell ref="AM226:AP226"/>
    <mergeCell ref="AQ226:AW226"/>
    <mergeCell ref="A223:B223"/>
    <mergeCell ref="C223:L223"/>
    <mergeCell ref="P223:S223"/>
    <mergeCell ref="W223:Z223"/>
    <mergeCell ref="AA223:AE223"/>
    <mergeCell ref="AF223:AL223"/>
    <mergeCell ref="AM223:AP223"/>
    <mergeCell ref="AQ223:AW223"/>
    <mergeCell ref="A224:B224"/>
    <mergeCell ref="C224:L224"/>
    <mergeCell ref="P224:S224"/>
    <mergeCell ref="W224:Z224"/>
    <mergeCell ref="AA224:AE224"/>
    <mergeCell ref="AF224:AL224"/>
    <mergeCell ref="AM224:AP224"/>
    <mergeCell ref="AQ224:AW224"/>
    <mergeCell ref="AF222:AL222"/>
    <mergeCell ref="AM222:AP222"/>
    <mergeCell ref="AQ222:AW222"/>
    <mergeCell ref="A219:B219"/>
    <mergeCell ref="C219:L219"/>
    <mergeCell ref="P219:S219"/>
    <mergeCell ref="W219:Z219"/>
    <mergeCell ref="AA219:AE219"/>
    <mergeCell ref="AF219:AL219"/>
    <mergeCell ref="AM219:AP219"/>
    <mergeCell ref="AQ219:AW219"/>
    <mergeCell ref="A220:B220"/>
    <mergeCell ref="C220:L220"/>
    <mergeCell ref="P220:S220"/>
    <mergeCell ref="W220:Z220"/>
    <mergeCell ref="AA220:AE220"/>
    <mergeCell ref="AF220:AL220"/>
    <mergeCell ref="AM220:AP220"/>
    <mergeCell ref="AQ220:AW220"/>
    <mergeCell ref="AA217:AE217"/>
    <mergeCell ref="AF217:AL217"/>
    <mergeCell ref="AM217:AP217"/>
    <mergeCell ref="AQ217:AW217"/>
    <mergeCell ref="A218:B218"/>
    <mergeCell ref="C218:L218"/>
    <mergeCell ref="P218:S218"/>
    <mergeCell ref="W218:Z218"/>
    <mergeCell ref="AA218:AE218"/>
    <mergeCell ref="AF218:AL218"/>
    <mergeCell ref="AM218:AP218"/>
    <mergeCell ref="AQ218:AW218"/>
    <mergeCell ref="A215:B215"/>
    <mergeCell ref="C215:L215"/>
    <mergeCell ref="P215:S215"/>
    <mergeCell ref="W215:Z215"/>
    <mergeCell ref="AA215:AE215"/>
    <mergeCell ref="AF215:AL215"/>
    <mergeCell ref="AM215:AP215"/>
    <mergeCell ref="AQ215:AW215"/>
    <mergeCell ref="A216:B216"/>
    <mergeCell ref="C216:L216"/>
    <mergeCell ref="P216:S216"/>
    <mergeCell ref="W216:Z216"/>
    <mergeCell ref="AA216:AE216"/>
    <mergeCell ref="AF216:AL216"/>
    <mergeCell ref="AM216:AP216"/>
    <mergeCell ref="AQ216:AW216"/>
    <mergeCell ref="AA213:AE213"/>
    <mergeCell ref="AF213:AL213"/>
    <mergeCell ref="AM213:AP213"/>
    <mergeCell ref="AQ213:AW213"/>
    <mergeCell ref="A214:B214"/>
    <mergeCell ref="C214:L214"/>
    <mergeCell ref="P214:S214"/>
    <mergeCell ref="W214:Z214"/>
    <mergeCell ref="AA214:AE214"/>
    <mergeCell ref="AF214:AL214"/>
    <mergeCell ref="AM214:AP214"/>
    <mergeCell ref="AQ214:AW214"/>
    <mergeCell ref="A211:B211"/>
    <mergeCell ref="C211:L211"/>
    <mergeCell ref="P211:S211"/>
    <mergeCell ref="W211:Z211"/>
    <mergeCell ref="AA211:AE211"/>
    <mergeCell ref="AF211:AL211"/>
    <mergeCell ref="AM211:AP211"/>
    <mergeCell ref="AQ211:AW211"/>
    <mergeCell ref="A212:B212"/>
    <mergeCell ref="C212:L212"/>
    <mergeCell ref="P212:S212"/>
    <mergeCell ref="W212:Z212"/>
    <mergeCell ref="AA212:AE212"/>
    <mergeCell ref="AF212:AL212"/>
    <mergeCell ref="AM212:AP212"/>
    <mergeCell ref="AQ212:AW212"/>
    <mergeCell ref="AA209:AE209"/>
    <mergeCell ref="AF209:AL209"/>
    <mergeCell ref="AM209:AP209"/>
    <mergeCell ref="AQ209:AW209"/>
    <mergeCell ref="A210:B210"/>
    <mergeCell ref="C210:L210"/>
    <mergeCell ref="P210:S210"/>
    <mergeCell ref="W210:Z210"/>
    <mergeCell ref="AA210:AE210"/>
    <mergeCell ref="AF210:AL210"/>
    <mergeCell ref="AM210:AP210"/>
    <mergeCell ref="AQ210:AW210"/>
    <mergeCell ref="A207:B207"/>
    <mergeCell ref="C207:L207"/>
    <mergeCell ref="P207:S207"/>
    <mergeCell ref="W207:Z207"/>
    <mergeCell ref="AA207:AE207"/>
    <mergeCell ref="AF207:AL207"/>
    <mergeCell ref="AM207:AP207"/>
    <mergeCell ref="AQ207:AW207"/>
    <mergeCell ref="A208:B208"/>
    <mergeCell ref="C208:L208"/>
    <mergeCell ref="P208:S208"/>
    <mergeCell ref="W208:Z208"/>
    <mergeCell ref="AA208:AE208"/>
    <mergeCell ref="AF208:AL208"/>
    <mergeCell ref="AM208:AP208"/>
    <mergeCell ref="AQ208:AW208"/>
    <mergeCell ref="AA205:AE205"/>
    <mergeCell ref="AF205:AL205"/>
    <mergeCell ref="AM205:AP205"/>
    <mergeCell ref="AQ205:AW205"/>
    <mergeCell ref="A206:B206"/>
    <mergeCell ref="C206:L206"/>
    <mergeCell ref="P206:S206"/>
    <mergeCell ref="W206:Z206"/>
    <mergeCell ref="AA206:AE206"/>
    <mergeCell ref="AF206:AL206"/>
    <mergeCell ref="AM206:AP206"/>
    <mergeCell ref="AQ206:AW206"/>
    <mergeCell ref="A203:B203"/>
    <mergeCell ref="C203:L203"/>
    <mergeCell ref="P203:S203"/>
    <mergeCell ref="W203:Z203"/>
    <mergeCell ref="AA203:AE203"/>
    <mergeCell ref="AF203:AL203"/>
    <mergeCell ref="AM203:AP203"/>
    <mergeCell ref="AQ203:AW203"/>
    <mergeCell ref="A204:B204"/>
    <mergeCell ref="C204:L204"/>
    <mergeCell ref="P204:S204"/>
    <mergeCell ref="W204:Z204"/>
    <mergeCell ref="AA204:AE204"/>
    <mergeCell ref="AF204:AL204"/>
    <mergeCell ref="AM204:AP204"/>
    <mergeCell ref="AQ204:AW204"/>
    <mergeCell ref="AA201:AE201"/>
    <mergeCell ref="AF201:AL201"/>
    <mergeCell ref="AM201:AP201"/>
    <mergeCell ref="AQ201:AW201"/>
    <mergeCell ref="A202:B202"/>
    <mergeCell ref="C202:L202"/>
    <mergeCell ref="P202:S202"/>
    <mergeCell ref="W202:Z202"/>
    <mergeCell ref="AA202:AE202"/>
    <mergeCell ref="AF202:AL202"/>
    <mergeCell ref="AM202:AP202"/>
    <mergeCell ref="AQ202:AW202"/>
    <mergeCell ref="AA199:AE199"/>
    <mergeCell ref="AF199:AL199"/>
    <mergeCell ref="AM199:AP199"/>
    <mergeCell ref="AQ199:AW199"/>
    <mergeCell ref="A200:B200"/>
    <mergeCell ref="C200:L200"/>
    <mergeCell ref="P200:S200"/>
    <mergeCell ref="W200:Z200"/>
    <mergeCell ref="AA200:AE200"/>
    <mergeCell ref="AF200:AL200"/>
    <mergeCell ref="AM200:AP200"/>
    <mergeCell ref="AQ200:AW200"/>
    <mergeCell ref="P199:S199"/>
    <mergeCell ref="W199:Z199"/>
    <mergeCell ref="A199:B199"/>
    <mergeCell ref="C199:L199"/>
    <mergeCell ref="AA197:AE197"/>
    <mergeCell ref="AF197:AL197"/>
    <mergeCell ref="AM197:AP197"/>
    <mergeCell ref="AQ197:AW197"/>
    <mergeCell ref="A198:B198"/>
    <mergeCell ref="C198:L198"/>
    <mergeCell ref="P198:S198"/>
    <mergeCell ref="W198:Z198"/>
    <mergeCell ref="AA198:AE198"/>
    <mergeCell ref="AF198:AL198"/>
    <mergeCell ref="AM198:AP198"/>
    <mergeCell ref="AQ198:AW198"/>
    <mergeCell ref="A94:B94"/>
    <mergeCell ref="C94:L94"/>
    <mergeCell ref="A95:B95"/>
    <mergeCell ref="C95:L95"/>
    <mergeCell ref="AA138:AE138"/>
    <mergeCell ref="AF138:AL138"/>
    <mergeCell ref="AM138:AP138"/>
    <mergeCell ref="AQ138:AW138"/>
    <mergeCell ref="AQ139:AW139"/>
    <mergeCell ref="AQ140:AW140"/>
    <mergeCell ref="AA141:AE141"/>
    <mergeCell ref="AF141:AL141"/>
    <mergeCell ref="AM141:AP141"/>
    <mergeCell ref="W139:Z139"/>
    <mergeCell ref="AA139:AE139"/>
    <mergeCell ref="AF139:AL139"/>
    <mergeCell ref="A96:B96"/>
    <mergeCell ref="C96:L96"/>
    <mergeCell ref="A97:B97"/>
    <mergeCell ref="C97:L97"/>
    <mergeCell ref="A104:B104"/>
    <mergeCell ref="C104:L104"/>
    <mergeCell ref="A105:B105"/>
    <mergeCell ref="C105:L105"/>
    <mergeCell ref="A106:B106"/>
    <mergeCell ref="C106:L106"/>
    <mergeCell ref="A107:B107"/>
    <mergeCell ref="C107:L107"/>
    <mergeCell ref="A138:B138"/>
    <mergeCell ref="C138:L138"/>
    <mergeCell ref="P138:S138"/>
    <mergeCell ref="W138:Z138"/>
    <mergeCell ref="A141:B141"/>
    <mergeCell ref="C141:L141"/>
    <mergeCell ref="P141:S141"/>
    <mergeCell ref="W141:Z141"/>
    <mergeCell ref="A139:B139"/>
    <mergeCell ref="C139:L139"/>
    <mergeCell ref="P139:S139"/>
    <mergeCell ref="A117:B117"/>
    <mergeCell ref="C117:L117"/>
    <mergeCell ref="A118:B118"/>
    <mergeCell ref="C118:L118"/>
    <mergeCell ref="A119:B119"/>
    <mergeCell ref="C119:L119"/>
    <mergeCell ref="A120:B120"/>
    <mergeCell ref="C122:L122"/>
    <mergeCell ref="A121:B121"/>
    <mergeCell ref="C121:L121"/>
    <mergeCell ref="A122:B122"/>
    <mergeCell ref="A123:B123"/>
    <mergeCell ref="W136:Z136"/>
    <mergeCell ref="A91:B91"/>
    <mergeCell ref="C91:L91"/>
    <mergeCell ref="A92:B92"/>
    <mergeCell ref="C92:L92"/>
    <mergeCell ref="A93:B93"/>
    <mergeCell ref="C93:L93"/>
    <mergeCell ref="A86:B86"/>
    <mergeCell ref="C86:L86"/>
    <mergeCell ref="A87:B87"/>
    <mergeCell ref="A88:B88"/>
    <mergeCell ref="C88:L88"/>
    <mergeCell ref="A89:B89"/>
    <mergeCell ref="C89:L89"/>
    <mergeCell ref="A90:B90"/>
    <mergeCell ref="C90:L90"/>
    <mergeCell ref="A98:B98"/>
    <mergeCell ref="C98:L98"/>
    <mergeCell ref="A99:B99"/>
    <mergeCell ref="C99:L99"/>
    <mergeCell ref="A100:B100"/>
    <mergeCell ref="C100:L100"/>
    <mergeCell ref="A101:B101"/>
    <mergeCell ref="C101:L101"/>
    <mergeCell ref="A102:B102"/>
    <mergeCell ref="C102:L102"/>
    <mergeCell ref="A103:B103"/>
    <mergeCell ref="C103:L103"/>
    <mergeCell ref="A20:B20"/>
    <mergeCell ref="C20:L20"/>
    <mergeCell ref="A21:B21"/>
    <mergeCell ref="C21:L21"/>
    <mergeCell ref="A22:B22"/>
    <mergeCell ref="C22:L22"/>
    <mergeCell ref="A23:B23"/>
    <mergeCell ref="C23:L23"/>
    <mergeCell ref="A24:B24"/>
    <mergeCell ref="C24:L24"/>
    <mergeCell ref="A25:B25"/>
    <mergeCell ref="C25:L25"/>
    <mergeCell ref="A81:B81"/>
    <mergeCell ref="C81:L81"/>
    <mergeCell ref="A82:B82"/>
    <mergeCell ref="C82:L82"/>
    <mergeCell ref="A83:B83"/>
    <mergeCell ref="C83:L83"/>
    <mergeCell ref="A26:B26"/>
    <mergeCell ref="C26:L26"/>
    <mergeCell ref="A27:B27"/>
    <mergeCell ref="C27:L27"/>
    <mergeCell ref="A28:B28"/>
    <mergeCell ref="C28:L28"/>
    <mergeCell ref="A29:B29"/>
    <mergeCell ref="C29:L29"/>
    <mergeCell ref="A30:B30"/>
    <mergeCell ref="C30:L30"/>
    <mergeCell ref="A31:B31"/>
    <mergeCell ref="C31:L31"/>
    <mergeCell ref="A32:B32"/>
    <mergeCell ref="C32:L32"/>
    <mergeCell ref="A1:CF1"/>
    <mergeCell ref="M3:CF3"/>
    <mergeCell ref="A8:B8"/>
    <mergeCell ref="C8:L8"/>
    <mergeCell ref="A9:B9"/>
    <mergeCell ref="C9:L9"/>
    <mergeCell ref="A10:B10"/>
    <mergeCell ref="C10:L10"/>
    <mergeCell ref="A11:B11"/>
    <mergeCell ref="C11:L11"/>
    <mergeCell ref="A12:B12"/>
    <mergeCell ref="C12:L12"/>
    <mergeCell ref="A13:B13"/>
    <mergeCell ref="C13:L13"/>
    <mergeCell ref="A14:B14"/>
    <mergeCell ref="C14:L14"/>
    <mergeCell ref="A19:B19"/>
    <mergeCell ref="C19:L19"/>
    <mergeCell ref="CG3:CL3"/>
    <mergeCell ref="A5:B5"/>
    <mergeCell ref="C5:L5"/>
    <mergeCell ref="A6:B6"/>
    <mergeCell ref="C6:L6"/>
    <mergeCell ref="A7:B7"/>
    <mergeCell ref="C7:L7"/>
    <mergeCell ref="A3:B4"/>
    <mergeCell ref="C3:L4"/>
    <mergeCell ref="A15:B15"/>
    <mergeCell ref="C15:L15"/>
    <mergeCell ref="A16:B16"/>
    <mergeCell ref="C16:L16"/>
    <mergeCell ref="A17:B17"/>
    <mergeCell ref="C17:L17"/>
    <mergeCell ref="A18:B18"/>
    <mergeCell ref="C18:L18"/>
    <mergeCell ref="A33:B33"/>
    <mergeCell ref="C33:L33"/>
    <mergeCell ref="A34:B34"/>
    <mergeCell ref="C34:L34"/>
    <mergeCell ref="A35:B35"/>
    <mergeCell ref="C35:L35"/>
    <mergeCell ref="A36:B36"/>
    <mergeCell ref="C36:L36"/>
    <mergeCell ref="A37:B37"/>
    <mergeCell ref="C37:L37"/>
    <mergeCell ref="A38:B38"/>
    <mergeCell ref="C38:L38"/>
    <mergeCell ref="A39:B39"/>
    <mergeCell ref="C39:L39"/>
    <mergeCell ref="A40:B40"/>
    <mergeCell ref="C40:L40"/>
    <mergeCell ref="A41:B41"/>
    <mergeCell ref="C41:L41"/>
    <mergeCell ref="A42:B42"/>
    <mergeCell ref="C42:L42"/>
    <mergeCell ref="A43:B43"/>
    <mergeCell ref="C43:L43"/>
    <mergeCell ref="A44:B44"/>
    <mergeCell ref="C44:L44"/>
    <mergeCell ref="A45:B45"/>
    <mergeCell ref="C45:L45"/>
    <mergeCell ref="A46:B46"/>
    <mergeCell ref="C46:L46"/>
    <mergeCell ref="A47:B47"/>
    <mergeCell ref="C47:L47"/>
    <mergeCell ref="A48:B48"/>
    <mergeCell ref="C48:L48"/>
    <mergeCell ref="A49:B49"/>
    <mergeCell ref="C49:L49"/>
    <mergeCell ref="A50:B50"/>
    <mergeCell ref="C50:L50"/>
    <mergeCell ref="A51:B51"/>
    <mergeCell ref="C51:L51"/>
    <mergeCell ref="A52:B52"/>
    <mergeCell ref="C52:L52"/>
    <mergeCell ref="A53:B53"/>
    <mergeCell ref="C53:L53"/>
    <mergeCell ref="A54:B54"/>
    <mergeCell ref="C54:L54"/>
    <mergeCell ref="A55:B55"/>
    <mergeCell ref="C55:L55"/>
    <mergeCell ref="A56:B56"/>
    <mergeCell ref="C56:L56"/>
    <mergeCell ref="A57:B57"/>
    <mergeCell ref="C57:L57"/>
    <mergeCell ref="A58:B58"/>
    <mergeCell ref="C58:L58"/>
    <mergeCell ref="A59:B59"/>
    <mergeCell ref="C59:L59"/>
    <mergeCell ref="A60:B60"/>
    <mergeCell ref="C60:L60"/>
    <mergeCell ref="A61:B61"/>
    <mergeCell ref="C61:L61"/>
    <mergeCell ref="A62:B62"/>
    <mergeCell ref="C62:L62"/>
    <mergeCell ref="A63:B63"/>
    <mergeCell ref="C63:L63"/>
    <mergeCell ref="A64:B64"/>
    <mergeCell ref="C64:L64"/>
    <mergeCell ref="A65:B65"/>
    <mergeCell ref="C65:L65"/>
    <mergeCell ref="A132:AW132"/>
    <mergeCell ref="A70:B70"/>
    <mergeCell ref="C70:L70"/>
    <mergeCell ref="A71:B71"/>
    <mergeCell ref="C71:L71"/>
    <mergeCell ref="A72:B72"/>
    <mergeCell ref="C72:L72"/>
    <mergeCell ref="A73:B73"/>
    <mergeCell ref="C73:L73"/>
    <mergeCell ref="A74:B74"/>
    <mergeCell ref="C74:L74"/>
    <mergeCell ref="A75:B75"/>
    <mergeCell ref="C75:L75"/>
    <mergeCell ref="A76:B76"/>
    <mergeCell ref="A66:B66"/>
    <mergeCell ref="C66:L66"/>
    <mergeCell ref="A67:B67"/>
    <mergeCell ref="C67:L67"/>
    <mergeCell ref="A68:B68"/>
    <mergeCell ref="C68:L68"/>
    <mergeCell ref="A69:B69"/>
    <mergeCell ref="C69:L69"/>
    <mergeCell ref="A84:B84"/>
    <mergeCell ref="C84:L84"/>
    <mergeCell ref="AQ134:AW135"/>
    <mergeCell ref="A134:B135"/>
    <mergeCell ref="C134:L135"/>
    <mergeCell ref="P134:S135"/>
    <mergeCell ref="T134:V135"/>
    <mergeCell ref="W134:Z135"/>
    <mergeCell ref="AM134:AP135"/>
    <mergeCell ref="AA134:AE135"/>
    <mergeCell ref="AF134:AL135"/>
    <mergeCell ref="A137:B137"/>
    <mergeCell ref="C137:L137"/>
    <mergeCell ref="P137:S137"/>
    <mergeCell ref="W137:Z137"/>
    <mergeCell ref="AA137:AE137"/>
    <mergeCell ref="AF137:AL137"/>
    <mergeCell ref="AM137:AP137"/>
    <mergeCell ref="AQ137:AW137"/>
    <mergeCell ref="A85:B85"/>
    <mergeCell ref="C85:L85"/>
    <mergeCell ref="C76:L76"/>
    <mergeCell ref="A77:B77"/>
    <mergeCell ref="C77:L77"/>
    <mergeCell ref="A78:B78"/>
    <mergeCell ref="C78:L78"/>
    <mergeCell ref="A79:B79"/>
    <mergeCell ref="C79:L79"/>
    <mergeCell ref="A80:B80"/>
    <mergeCell ref="C80:L80"/>
    <mergeCell ref="AM139:AP139"/>
    <mergeCell ref="A140:B140"/>
    <mergeCell ref="C140:L140"/>
    <mergeCell ref="P140:S140"/>
    <mergeCell ref="W140:Z140"/>
    <mergeCell ref="AA140:AE140"/>
    <mergeCell ref="AF140:AL140"/>
    <mergeCell ref="AM140:AP140"/>
    <mergeCell ref="AQ141:AW141"/>
    <mergeCell ref="A142:B142"/>
    <mergeCell ref="C142:L142"/>
    <mergeCell ref="P142:S142"/>
    <mergeCell ref="W142:Z142"/>
    <mergeCell ref="AA142:AE142"/>
    <mergeCell ref="AF142:AL142"/>
    <mergeCell ref="AM142:AP142"/>
    <mergeCell ref="A143:B143"/>
    <mergeCell ref="C143:L143"/>
    <mergeCell ref="P143:S143"/>
    <mergeCell ref="W143:Z143"/>
    <mergeCell ref="AA143:AE143"/>
    <mergeCell ref="AF143:AL143"/>
    <mergeCell ref="AM143:AP143"/>
    <mergeCell ref="AQ143:AW143"/>
    <mergeCell ref="AA144:AE144"/>
    <mergeCell ref="AF144:AL144"/>
    <mergeCell ref="AM144:AP144"/>
    <mergeCell ref="AQ144:AW144"/>
    <mergeCell ref="A145:B145"/>
    <mergeCell ref="C145:L145"/>
    <mergeCell ref="P145:S145"/>
    <mergeCell ref="W145:Z145"/>
    <mergeCell ref="AA145:AE145"/>
    <mergeCell ref="AF145:AL145"/>
    <mergeCell ref="AM145:AP145"/>
    <mergeCell ref="AQ145:AW145"/>
    <mergeCell ref="A146:B146"/>
    <mergeCell ref="C146:L146"/>
    <mergeCell ref="P146:S146"/>
    <mergeCell ref="W146:Z146"/>
    <mergeCell ref="AA146:AE146"/>
    <mergeCell ref="AF146:AL146"/>
    <mergeCell ref="AM146:AP146"/>
    <mergeCell ref="AQ146:AW146"/>
    <mergeCell ref="AA147:AE147"/>
    <mergeCell ref="AF147:AL147"/>
    <mergeCell ref="AM147:AP147"/>
    <mergeCell ref="AQ147:AW147"/>
    <mergeCell ref="A148:B148"/>
    <mergeCell ref="C148:L148"/>
    <mergeCell ref="P148:S148"/>
    <mergeCell ref="W148:Z148"/>
    <mergeCell ref="AA148:AE148"/>
    <mergeCell ref="AF148:AL148"/>
    <mergeCell ref="AM148:AP148"/>
    <mergeCell ref="AQ148:AW148"/>
    <mergeCell ref="A149:B149"/>
    <mergeCell ref="C149:L149"/>
    <mergeCell ref="P149:S149"/>
    <mergeCell ref="W149:Z149"/>
    <mergeCell ref="AA149:AE149"/>
    <mergeCell ref="AF149:AL149"/>
    <mergeCell ref="AM149:AP149"/>
    <mergeCell ref="AQ149:AW149"/>
    <mergeCell ref="P150:S150"/>
    <mergeCell ref="W150:Z150"/>
    <mergeCell ref="AA150:AE150"/>
    <mergeCell ref="AF150:AL150"/>
    <mergeCell ref="AM150:AP150"/>
    <mergeCell ref="AQ150:AW150"/>
    <mergeCell ref="A151:B151"/>
    <mergeCell ref="C151:L151"/>
    <mergeCell ref="P151:S151"/>
    <mergeCell ref="W151:Z151"/>
    <mergeCell ref="AA151:AE151"/>
    <mergeCell ref="AF151:AL151"/>
    <mergeCell ref="AM151:AP151"/>
    <mergeCell ref="AQ151:AW151"/>
    <mergeCell ref="A152:B152"/>
    <mergeCell ref="C152:L152"/>
    <mergeCell ref="P152:S152"/>
    <mergeCell ref="W152:Z152"/>
    <mergeCell ref="AA152:AE152"/>
    <mergeCell ref="AF152:AL152"/>
    <mergeCell ref="AM152:AP152"/>
    <mergeCell ref="AQ152:AW152"/>
    <mergeCell ref="P153:S153"/>
    <mergeCell ref="W153:Z153"/>
    <mergeCell ref="AA153:AE153"/>
    <mergeCell ref="AF153:AL153"/>
    <mergeCell ref="AM153:AP153"/>
    <mergeCell ref="AQ153:AW153"/>
    <mergeCell ref="A154:B154"/>
    <mergeCell ref="C154:L154"/>
    <mergeCell ref="P154:S154"/>
    <mergeCell ref="W154:Z154"/>
    <mergeCell ref="AA154:AE154"/>
    <mergeCell ref="AF154:AL154"/>
    <mergeCell ref="AM154:AP154"/>
    <mergeCell ref="AQ154:AW154"/>
    <mergeCell ref="A155:B155"/>
    <mergeCell ref="C155:L155"/>
    <mergeCell ref="P155:S155"/>
    <mergeCell ref="W155:Z155"/>
    <mergeCell ref="AA155:AE155"/>
    <mergeCell ref="AF155:AL155"/>
    <mergeCell ref="AM155:AP155"/>
    <mergeCell ref="AQ155:AW155"/>
    <mergeCell ref="A156:B156"/>
    <mergeCell ref="C156:L156"/>
    <mergeCell ref="P156:S156"/>
    <mergeCell ref="W156:Z156"/>
    <mergeCell ref="AA156:AE156"/>
    <mergeCell ref="AF156:AL156"/>
    <mergeCell ref="AM156:AP156"/>
    <mergeCell ref="AQ156:AW156"/>
    <mergeCell ref="A157:B157"/>
    <mergeCell ref="C157:L157"/>
    <mergeCell ref="P157:S157"/>
    <mergeCell ref="W157:Z157"/>
    <mergeCell ref="AA157:AE157"/>
    <mergeCell ref="AF157:AL157"/>
    <mergeCell ref="AM157:AP157"/>
    <mergeCell ref="AQ157:AW157"/>
    <mergeCell ref="A158:B158"/>
    <mergeCell ref="C158:L158"/>
    <mergeCell ref="P158:S158"/>
    <mergeCell ref="W158:Z158"/>
    <mergeCell ref="AA158:AE158"/>
    <mergeCell ref="AF158:AL158"/>
    <mergeCell ref="AM158:AP158"/>
    <mergeCell ref="AQ158:AW158"/>
    <mergeCell ref="A159:B159"/>
    <mergeCell ref="C159:L159"/>
    <mergeCell ref="P159:S159"/>
    <mergeCell ref="W159:Z159"/>
    <mergeCell ref="AA159:AE159"/>
    <mergeCell ref="AF159:AL159"/>
    <mergeCell ref="AM159:AP159"/>
    <mergeCell ref="AQ159:AW159"/>
    <mergeCell ref="A160:B160"/>
    <mergeCell ref="C160:L160"/>
    <mergeCell ref="P160:S160"/>
    <mergeCell ref="W160:Z160"/>
    <mergeCell ref="AA160:AE160"/>
    <mergeCell ref="AF160:AL160"/>
    <mergeCell ref="AM160:AP160"/>
    <mergeCell ref="AQ160:AW160"/>
    <mergeCell ref="A161:B161"/>
    <mergeCell ref="C161:L161"/>
    <mergeCell ref="P161:S161"/>
    <mergeCell ref="W161:Z161"/>
    <mergeCell ref="AA161:AE161"/>
    <mergeCell ref="AF161:AL161"/>
    <mergeCell ref="AM161:AP161"/>
    <mergeCell ref="AQ161:AW161"/>
    <mergeCell ref="A162:B162"/>
    <mergeCell ref="C162:L162"/>
    <mergeCell ref="P162:S162"/>
    <mergeCell ref="W162:Z162"/>
    <mergeCell ref="AA162:AE162"/>
    <mergeCell ref="AF162:AL162"/>
    <mergeCell ref="AM162:AP162"/>
    <mergeCell ref="AQ162:AW162"/>
    <mergeCell ref="A163:B163"/>
    <mergeCell ref="C163:L163"/>
    <mergeCell ref="P163:S163"/>
    <mergeCell ref="W163:Z163"/>
    <mergeCell ref="AA163:AE163"/>
    <mergeCell ref="AF163:AL163"/>
    <mergeCell ref="AM163:AP163"/>
    <mergeCell ref="AQ163:AW163"/>
    <mergeCell ref="A164:B164"/>
    <mergeCell ref="C164:L164"/>
    <mergeCell ref="P164:S164"/>
    <mergeCell ref="W164:Z164"/>
    <mergeCell ref="AA164:AE164"/>
    <mergeCell ref="AF164:AL164"/>
    <mergeCell ref="AM164:AP164"/>
    <mergeCell ref="A165:B165"/>
    <mergeCell ref="C165:L165"/>
    <mergeCell ref="P165:S165"/>
    <mergeCell ref="W165:Z165"/>
    <mergeCell ref="AA165:AE165"/>
    <mergeCell ref="AF165:AL165"/>
    <mergeCell ref="AM165:AP165"/>
    <mergeCell ref="AQ165:AW165"/>
    <mergeCell ref="A166:B166"/>
    <mergeCell ref="C166:L166"/>
    <mergeCell ref="P166:S166"/>
    <mergeCell ref="W166:Z166"/>
    <mergeCell ref="AA166:AE166"/>
    <mergeCell ref="AF166:AL166"/>
    <mergeCell ref="AM166:AP166"/>
    <mergeCell ref="AQ166:AW166"/>
    <mergeCell ref="A167:B167"/>
    <mergeCell ref="C167:L167"/>
    <mergeCell ref="P167:S167"/>
    <mergeCell ref="W167:Z167"/>
    <mergeCell ref="AA167:AE167"/>
    <mergeCell ref="AF167:AL167"/>
    <mergeCell ref="AM167:AP167"/>
    <mergeCell ref="AQ167:AW167"/>
    <mergeCell ref="A168:B168"/>
    <mergeCell ref="C168:L168"/>
    <mergeCell ref="P168:S168"/>
    <mergeCell ref="W168:Z168"/>
    <mergeCell ref="AA168:AE168"/>
    <mergeCell ref="AF168:AL168"/>
    <mergeCell ref="AM168:AP168"/>
    <mergeCell ref="AQ168:AW168"/>
    <mergeCell ref="A169:B169"/>
    <mergeCell ref="C169:L169"/>
    <mergeCell ref="P169:S169"/>
    <mergeCell ref="W169:Z169"/>
    <mergeCell ref="AA169:AE169"/>
    <mergeCell ref="AF169:AL169"/>
    <mergeCell ref="AM169:AP169"/>
    <mergeCell ref="AQ169:AW169"/>
    <mergeCell ref="A170:B170"/>
    <mergeCell ref="C170:L170"/>
    <mergeCell ref="P170:S170"/>
    <mergeCell ref="W170:Z170"/>
    <mergeCell ref="AA170:AE170"/>
    <mergeCell ref="AF170:AL170"/>
    <mergeCell ref="AM170:AP170"/>
    <mergeCell ref="AQ170:AW170"/>
    <mergeCell ref="A171:B171"/>
    <mergeCell ref="C171:L171"/>
    <mergeCell ref="P171:S171"/>
    <mergeCell ref="W171:Z171"/>
    <mergeCell ref="AA171:AE171"/>
    <mergeCell ref="AF171:AL171"/>
    <mergeCell ref="AM171:AP171"/>
    <mergeCell ref="AQ171:AW171"/>
    <mergeCell ref="A172:B172"/>
    <mergeCell ref="C172:L172"/>
    <mergeCell ref="P172:S172"/>
    <mergeCell ref="W172:Z172"/>
    <mergeCell ref="AA172:AE172"/>
    <mergeCell ref="AF172:AL172"/>
    <mergeCell ref="AM172:AP172"/>
    <mergeCell ref="AQ172:AW172"/>
    <mergeCell ref="A173:B173"/>
    <mergeCell ref="C173:L173"/>
    <mergeCell ref="P173:S173"/>
    <mergeCell ref="T173:V173"/>
    <mergeCell ref="W173:Z173"/>
    <mergeCell ref="AA173:AE173"/>
    <mergeCell ref="AF173:AL173"/>
    <mergeCell ref="AM173:AP173"/>
    <mergeCell ref="AQ173:AW173"/>
    <mergeCell ref="A174:B174"/>
    <mergeCell ref="C174:L174"/>
    <mergeCell ref="P174:S174"/>
    <mergeCell ref="W174:Z174"/>
    <mergeCell ref="AA174:AE174"/>
    <mergeCell ref="AF174:AL174"/>
    <mergeCell ref="AM174:AP174"/>
    <mergeCell ref="AQ174:AW174"/>
    <mergeCell ref="A175:B175"/>
    <mergeCell ref="C175:L175"/>
    <mergeCell ref="P175:S175"/>
    <mergeCell ref="W175:Z175"/>
    <mergeCell ref="AA175:AE175"/>
    <mergeCell ref="AF175:AL175"/>
    <mergeCell ref="AM175:AP175"/>
    <mergeCell ref="AQ175:AW175"/>
    <mergeCell ref="A176:B176"/>
    <mergeCell ref="C176:L176"/>
    <mergeCell ref="P176:S176"/>
    <mergeCell ref="W176:Z176"/>
    <mergeCell ref="AA176:AE176"/>
    <mergeCell ref="AF176:AL176"/>
    <mergeCell ref="AM176:AP176"/>
    <mergeCell ref="AQ176:AW176"/>
    <mergeCell ref="A177:B177"/>
    <mergeCell ref="C177:L177"/>
    <mergeCell ref="P177:S177"/>
    <mergeCell ref="W177:Z177"/>
    <mergeCell ref="AA177:AE177"/>
    <mergeCell ref="AF177:AL177"/>
    <mergeCell ref="AM177:AP177"/>
    <mergeCell ref="AQ177:AW177"/>
    <mergeCell ref="A178:B178"/>
    <mergeCell ref="C178:L178"/>
    <mergeCell ref="P178:S178"/>
    <mergeCell ref="W178:Z178"/>
    <mergeCell ref="AA178:AE178"/>
    <mergeCell ref="AF178:AL178"/>
    <mergeCell ref="AM178:AP178"/>
    <mergeCell ref="AQ178:AW178"/>
    <mergeCell ref="A179:B179"/>
    <mergeCell ref="C179:L179"/>
    <mergeCell ref="P179:S179"/>
    <mergeCell ref="W179:Z179"/>
    <mergeCell ref="AA179:AE179"/>
    <mergeCell ref="AF179:AL179"/>
    <mergeCell ref="AM179:AP179"/>
    <mergeCell ref="AQ179:AW179"/>
    <mergeCell ref="A180:B180"/>
    <mergeCell ref="C180:L180"/>
    <mergeCell ref="P180:S180"/>
    <mergeCell ref="W180:Z180"/>
    <mergeCell ref="AA180:AE180"/>
    <mergeCell ref="AF180:AL180"/>
    <mergeCell ref="AM180:AP180"/>
    <mergeCell ref="AQ180:AW180"/>
    <mergeCell ref="A181:B181"/>
    <mergeCell ref="C181:L181"/>
    <mergeCell ref="P181:S181"/>
    <mergeCell ref="W181:Z181"/>
    <mergeCell ref="AA181:AE181"/>
    <mergeCell ref="AF181:AL181"/>
    <mergeCell ref="AM181:AP181"/>
    <mergeCell ref="AQ181:AW181"/>
    <mergeCell ref="A182:B182"/>
    <mergeCell ref="C182:L182"/>
    <mergeCell ref="P182:S182"/>
    <mergeCell ref="W182:Z182"/>
    <mergeCell ref="AA182:AE182"/>
    <mergeCell ref="AF182:AL182"/>
    <mergeCell ref="AM182:AP182"/>
    <mergeCell ref="AQ182:AW182"/>
    <mergeCell ref="A183:B183"/>
    <mergeCell ref="C183:L183"/>
    <mergeCell ref="P183:S183"/>
    <mergeCell ref="W183:Z183"/>
    <mergeCell ref="AA183:AE183"/>
    <mergeCell ref="AF183:AL183"/>
    <mergeCell ref="AM183:AP183"/>
    <mergeCell ref="AQ183:AW183"/>
    <mergeCell ref="A184:B184"/>
    <mergeCell ref="C184:L184"/>
    <mergeCell ref="P184:S184"/>
    <mergeCell ref="W184:Z184"/>
    <mergeCell ref="AA184:AE184"/>
    <mergeCell ref="AF184:AL184"/>
    <mergeCell ref="AM184:AP184"/>
    <mergeCell ref="AQ184:AW184"/>
    <mergeCell ref="A185:B185"/>
    <mergeCell ref="C185:L185"/>
    <mergeCell ref="P185:S185"/>
    <mergeCell ref="W185:Z185"/>
    <mergeCell ref="AA185:AE185"/>
    <mergeCell ref="AF185:AL185"/>
    <mergeCell ref="AM185:AP185"/>
    <mergeCell ref="AQ185:AW185"/>
    <mergeCell ref="A186:B186"/>
    <mergeCell ref="C186:L186"/>
    <mergeCell ref="P186:S186"/>
    <mergeCell ref="W186:Z186"/>
    <mergeCell ref="AA186:AE186"/>
    <mergeCell ref="AF186:AL186"/>
    <mergeCell ref="AM186:AP186"/>
    <mergeCell ref="AQ186:AW186"/>
    <mergeCell ref="A187:B187"/>
    <mergeCell ref="C187:L187"/>
    <mergeCell ref="P187:S187"/>
    <mergeCell ref="W187:Z187"/>
    <mergeCell ref="AA187:AE187"/>
    <mergeCell ref="AF187:AL187"/>
    <mergeCell ref="AM187:AP187"/>
    <mergeCell ref="AQ187:AW187"/>
    <mergeCell ref="A188:B188"/>
    <mergeCell ref="C188:L188"/>
    <mergeCell ref="P188:S188"/>
    <mergeCell ref="W188:Z188"/>
    <mergeCell ref="AA188:AE188"/>
    <mergeCell ref="AF188:AL188"/>
    <mergeCell ref="AM188:AP188"/>
    <mergeCell ref="AQ188:AV188"/>
    <mergeCell ref="A189:B189"/>
    <mergeCell ref="C189:L189"/>
    <mergeCell ref="P189:S189"/>
    <mergeCell ref="W189:Z189"/>
    <mergeCell ref="AA189:AE189"/>
    <mergeCell ref="AF189:AL189"/>
    <mergeCell ref="AM189:AP189"/>
    <mergeCell ref="AQ189:AV189"/>
    <mergeCell ref="A190:B190"/>
    <mergeCell ref="C190:L190"/>
    <mergeCell ref="P190:S190"/>
    <mergeCell ref="W190:Z190"/>
    <mergeCell ref="AA190:AE190"/>
    <mergeCell ref="AF190:AL190"/>
    <mergeCell ref="AM190:AP190"/>
    <mergeCell ref="AQ190:AV190"/>
    <mergeCell ref="A191:B191"/>
    <mergeCell ref="C191:L191"/>
    <mergeCell ref="P191:S191"/>
    <mergeCell ref="W191:Z191"/>
    <mergeCell ref="AA191:AE191"/>
    <mergeCell ref="AF191:AL191"/>
    <mergeCell ref="AM191:AP191"/>
    <mergeCell ref="AQ191:AV191"/>
    <mergeCell ref="A192:B192"/>
    <mergeCell ref="C192:L192"/>
    <mergeCell ref="P192:S192"/>
    <mergeCell ref="W192:Z192"/>
    <mergeCell ref="AA192:AE192"/>
    <mergeCell ref="AF192:AL192"/>
    <mergeCell ref="AM192:AP192"/>
    <mergeCell ref="A193:B193"/>
    <mergeCell ref="C193:L193"/>
    <mergeCell ref="P193:S193"/>
    <mergeCell ref="W193:Z193"/>
    <mergeCell ref="AA193:AE193"/>
    <mergeCell ref="AF193:AL193"/>
    <mergeCell ref="AM193:AP193"/>
    <mergeCell ref="A194:B194"/>
    <mergeCell ref="C194:L194"/>
    <mergeCell ref="P194:S194"/>
    <mergeCell ref="W194:Z194"/>
    <mergeCell ref="AA194:AE194"/>
    <mergeCell ref="AF194:AL194"/>
    <mergeCell ref="AM194:AP194"/>
    <mergeCell ref="AQ194:AW194"/>
    <mergeCell ref="A195:B195"/>
    <mergeCell ref="C195:L195"/>
    <mergeCell ref="P195:S195"/>
    <mergeCell ref="W195:Z195"/>
    <mergeCell ref="AA195:AE195"/>
    <mergeCell ref="AF195:AL195"/>
    <mergeCell ref="AM195:AP195"/>
    <mergeCell ref="AQ195:AW195"/>
    <mergeCell ref="A196:B196"/>
    <mergeCell ref="C196:L196"/>
    <mergeCell ref="P196:S196"/>
    <mergeCell ref="W196:Z196"/>
    <mergeCell ref="AA196:AE196"/>
    <mergeCell ref="AF196:AL196"/>
    <mergeCell ref="AM196:AP196"/>
    <mergeCell ref="AQ196:AW196"/>
  </mergeCells>
  <phoneticPr fontId="27"/>
  <pageMargins left="0.51181102362204722" right="0.31496062992125984" top="0.55118110236220474" bottom="0.55118110236220474" header="0" footer="0"/>
  <pageSetup paperSize="11" scale="8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showGridLines="0" topLeftCell="A13" workbookViewId="0">
      <selection activeCell="AC79" sqref="AC79"/>
    </sheetView>
  </sheetViews>
  <sheetFormatPr defaultColWidth="14.42578125" defaultRowHeight="15" customHeight="1"/>
  <cols>
    <col min="1" max="27" width="2.7109375" customWidth="1"/>
  </cols>
  <sheetData>
    <row r="1" spans="1:27" ht="13.5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3.5" customHeight="1">
      <c r="A2" s="1" t="s">
        <v>170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1.25" customHeight="1">
      <c r="A3" s="3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1.25" customHeight="1">
      <c r="A4" s="4" t="s">
        <v>171</v>
      </c>
      <c r="B4" s="4"/>
      <c r="C4" s="4"/>
      <c r="D4" s="4"/>
      <c r="E4" s="4"/>
      <c r="F4" s="4" t="s">
        <v>172</v>
      </c>
      <c r="G4" s="5" t="s">
        <v>173</v>
      </c>
      <c r="H4" s="6"/>
      <c r="I4" s="6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1.25" customHeight="1">
      <c r="A5" s="4" t="s">
        <v>174</v>
      </c>
      <c r="B5" s="4"/>
      <c r="C5" s="4"/>
      <c r="D5" s="4"/>
      <c r="E5" s="4"/>
      <c r="F5" s="4" t="s">
        <v>172</v>
      </c>
      <c r="G5" s="5" t="s">
        <v>173</v>
      </c>
      <c r="H5" s="6"/>
      <c r="I5" s="6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1.25" customHeight="1">
      <c r="A6" s="4" t="s">
        <v>175</v>
      </c>
      <c r="B6" s="4"/>
      <c r="C6" s="4"/>
      <c r="D6" s="4"/>
      <c r="E6" s="4"/>
      <c r="F6" s="4" t="s">
        <v>172</v>
      </c>
      <c r="G6" s="5" t="s">
        <v>176</v>
      </c>
      <c r="H6" s="6"/>
      <c r="I6" s="6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3.5" customHeight="1">
      <c r="A8" s="7" t="s">
        <v>177</v>
      </c>
      <c r="B8" s="7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1.25" customHeight="1">
      <c r="A10" s="4">
        <v>1</v>
      </c>
      <c r="B10" s="228" t="s">
        <v>178</v>
      </c>
      <c r="C10" s="229"/>
      <c r="D10" s="229"/>
      <c r="E10" s="229"/>
      <c r="F10" s="229"/>
      <c r="G10" s="229"/>
      <c r="H10" s="229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  <c r="X10" s="229"/>
      <c r="Y10" s="229"/>
      <c r="Z10" s="229"/>
      <c r="AA10" s="229"/>
    </row>
    <row r="11" spans="1:27" ht="11.25" customHeight="1">
      <c r="A11" s="4">
        <v>2</v>
      </c>
      <c r="B11" s="228" t="s">
        <v>179</v>
      </c>
      <c r="C11" s="229"/>
      <c r="D11" s="229"/>
      <c r="E11" s="229"/>
      <c r="F11" s="229"/>
      <c r="G11" s="229"/>
      <c r="H11" s="229"/>
      <c r="I11" s="229"/>
      <c r="J11" s="229"/>
      <c r="K11" s="229"/>
      <c r="L11" s="229"/>
      <c r="M11" s="229"/>
      <c r="N11" s="229"/>
      <c r="O11" s="229"/>
      <c r="P11" s="229"/>
      <c r="Q11" s="229"/>
      <c r="R11" s="229"/>
      <c r="S11" s="229"/>
      <c r="T11" s="229"/>
      <c r="U11" s="229"/>
      <c r="V11" s="229"/>
      <c r="W11" s="229"/>
      <c r="X11" s="229"/>
      <c r="Y11" s="229"/>
      <c r="Z11" s="229"/>
      <c r="AA11" s="229"/>
    </row>
    <row r="12" spans="1:27" ht="11.25" customHeight="1">
      <c r="A12" s="4">
        <v>3</v>
      </c>
      <c r="B12" s="228" t="s">
        <v>180</v>
      </c>
      <c r="C12" s="229"/>
      <c r="D12" s="229"/>
      <c r="E12" s="229"/>
      <c r="F12" s="229"/>
      <c r="G12" s="229"/>
      <c r="H12" s="229"/>
      <c r="I12" s="229"/>
      <c r="J12" s="229"/>
      <c r="K12" s="229"/>
      <c r="L12" s="229"/>
      <c r="M12" s="229"/>
      <c r="N12" s="229"/>
      <c r="O12" s="229"/>
      <c r="P12" s="229"/>
      <c r="Q12" s="229"/>
      <c r="R12" s="229"/>
      <c r="S12" s="229"/>
      <c r="T12" s="229"/>
      <c r="U12" s="229"/>
      <c r="V12" s="229"/>
      <c r="W12" s="229"/>
      <c r="X12" s="229"/>
      <c r="Y12" s="229"/>
      <c r="Z12" s="229"/>
      <c r="AA12" s="229"/>
    </row>
    <row r="13" spans="1:27" ht="11.25" customHeight="1">
      <c r="A13" s="4">
        <v>4</v>
      </c>
      <c r="B13" s="228" t="s">
        <v>181</v>
      </c>
      <c r="C13" s="229"/>
      <c r="D13" s="229"/>
      <c r="E13" s="229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</row>
    <row r="14" spans="1:27" ht="11.25" customHeight="1">
      <c r="A14" s="4">
        <v>5</v>
      </c>
      <c r="B14" s="228" t="s">
        <v>182</v>
      </c>
      <c r="C14" s="229"/>
      <c r="D14" s="229"/>
      <c r="E14" s="229"/>
      <c r="F14" s="229"/>
      <c r="G14" s="229"/>
      <c r="H14" s="229"/>
      <c r="I14" s="229"/>
      <c r="J14" s="229"/>
      <c r="K14" s="229"/>
      <c r="L14" s="229"/>
      <c r="M14" s="229"/>
      <c r="N14" s="229"/>
      <c r="O14" s="229"/>
      <c r="P14" s="229"/>
      <c r="Q14" s="229"/>
      <c r="R14" s="229"/>
      <c r="S14" s="229"/>
      <c r="T14" s="229"/>
      <c r="U14" s="229"/>
      <c r="V14" s="229"/>
      <c r="W14" s="229"/>
      <c r="X14" s="229"/>
      <c r="Y14" s="229"/>
      <c r="Z14" s="229"/>
      <c r="AA14" s="229"/>
    </row>
    <row r="15" spans="1:27" ht="11.25" customHeight="1">
      <c r="A15" s="4">
        <v>6</v>
      </c>
      <c r="B15" s="228" t="s">
        <v>183</v>
      </c>
      <c r="C15" s="229"/>
      <c r="D15" s="229"/>
      <c r="E15" s="229"/>
      <c r="F15" s="229"/>
      <c r="G15" s="229"/>
      <c r="H15" s="229"/>
      <c r="I15" s="229"/>
      <c r="J15" s="229"/>
      <c r="K15" s="229"/>
      <c r="L15" s="229"/>
      <c r="M15" s="229"/>
      <c r="N15" s="229"/>
      <c r="O15" s="229"/>
      <c r="P15" s="229"/>
      <c r="Q15" s="229"/>
      <c r="R15" s="229"/>
      <c r="S15" s="229"/>
      <c r="T15" s="229"/>
      <c r="U15" s="229"/>
      <c r="V15" s="229"/>
      <c r="W15" s="229"/>
      <c r="X15" s="229"/>
      <c r="Y15" s="229"/>
      <c r="Z15" s="229"/>
      <c r="AA15" s="229"/>
    </row>
    <row r="16" spans="1:27" ht="11.25" customHeight="1">
      <c r="A16" s="4">
        <v>7</v>
      </c>
      <c r="B16" s="228" t="s">
        <v>184</v>
      </c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229"/>
      <c r="O16" s="229"/>
      <c r="P16" s="229"/>
      <c r="Q16" s="229"/>
      <c r="R16" s="229"/>
      <c r="S16" s="229"/>
      <c r="T16" s="229"/>
      <c r="U16" s="229"/>
      <c r="V16" s="229"/>
      <c r="W16" s="229"/>
      <c r="X16" s="229"/>
      <c r="Y16" s="229"/>
      <c r="Z16" s="229"/>
      <c r="AA16" s="229"/>
    </row>
    <row r="17" spans="1:27" ht="11.25" customHeight="1">
      <c r="A17" s="4">
        <v>8</v>
      </c>
      <c r="B17" s="228" t="s">
        <v>185</v>
      </c>
      <c r="C17" s="229"/>
      <c r="D17" s="229"/>
      <c r="E17" s="229"/>
      <c r="F17" s="229"/>
      <c r="G17" s="229"/>
      <c r="H17" s="229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  <c r="X17" s="229"/>
      <c r="Y17" s="229"/>
      <c r="Z17" s="229"/>
      <c r="AA17" s="229"/>
    </row>
    <row r="18" spans="1:27" ht="22.5" customHeight="1">
      <c r="A18" s="10">
        <v>9</v>
      </c>
      <c r="B18" s="230" t="s">
        <v>186</v>
      </c>
      <c r="C18" s="229"/>
      <c r="D18" s="229"/>
      <c r="E18" s="229"/>
      <c r="F18" s="229"/>
      <c r="G18" s="229"/>
      <c r="H18" s="229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  <c r="X18" s="229"/>
      <c r="Y18" s="229"/>
      <c r="Z18" s="229"/>
      <c r="AA18" s="229"/>
    </row>
    <row r="19" spans="1:27" ht="10.5" customHeight="1">
      <c r="A19" s="10">
        <v>10</v>
      </c>
      <c r="B19" s="230" t="s">
        <v>187</v>
      </c>
      <c r="C19" s="229"/>
      <c r="D19" s="229"/>
      <c r="E19" s="229"/>
      <c r="F19" s="229"/>
      <c r="G19" s="229"/>
      <c r="H19" s="229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  <c r="X19" s="229"/>
      <c r="Y19" s="229"/>
      <c r="Z19" s="229"/>
      <c r="AA19" s="229"/>
    </row>
    <row r="20" spans="1:27" ht="11.25" customHeight="1">
      <c r="A20" s="4">
        <v>11</v>
      </c>
      <c r="B20" s="4" t="s">
        <v>188</v>
      </c>
      <c r="C20" s="4"/>
      <c r="D20" s="4"/>
      <c r="E20" s="4"/>
      <c r="F20" s="4"/>
      <c r="G20" s="4"/>
      <c r="H20" s="4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11.25" customHeight="1">
      <c r="A21" s="4">
        <v>12</v>
      </c>
      <c r="B21" s="4" t="s">
        <v>189</v>
      </c>
      <c r="C21" s="4"/>
      <c r="D21" s="4"/>
      <c r="E21" s="4"/>
      <c r="F21" s="4"/>
      <c r="G21" s="4"/>
      <c r="H21" s="4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3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3.5" customHeight="1">
      <c r="A23" s="7" t="s">
        <v>190</v>
      </c>
      <c r="B23" s="7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1.25" customHeight="1">
      <c r="A25" s="4">
        <v>1</v>
      </c>
      <c r="B25" s="228" t="s">
        <v>191</v>
      </c>
      <c r="C25" s="229"/>
      <c r="D25" s="229"/>
      <c r="E25" s="229"/>
      <c r="F25" s="229"/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  <c r="AA25" s="229"/>
    </row>
    <row r="26" spans="1:27" ht="11.25" customHeight="1">
      <c r="A26" s="4">
        <v>2</v>
      </c>
      <c r="B26" s="4" t="s">
        <v>192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1.25" customHeight="1">
      <c r="A27" s="4">
        <v>3</v>
      </c>
      <c r="B27" s="4" t="s">
        <v>193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1.25" customHeight="1">
      <c r="A28" s="4">
        <v>4</v>
      </c>
      <c r="B28" s="4" t="s">
        <v>194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3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5" customHeight="1">
      <c r="A30" s="7" t="s">
        <v>195</v>
      </c>
      <c r="B30" s="7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1.25" customHeight="1">
      <c r="A32" s="4">
        <v>1</v>
      </c>
      <c r="B32" s="4" t="s">
        <v>196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1.25" customHeight="1">
      <c r="A33" s="4">
        <v>2</v>
      </c>
      <c r="B33" s="4" t="s">
        <v>197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1.25" customHeight="1">
      <c r="A34" s="4">
        <v>3</v>
      </c>
      <c r="B34" s="4" t="s">
        <v>198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1.25" customHeight="1">
      <c r="A35" s="4">
        <v>4</v>
      </c>
      <c r="B35" s="4" t="s">
        <v>199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3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3.5" customHeight="1">
      <c r="A37" s="7" t="s">
        <v>200</v>
      </c>
      <c r="B37" s="7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1.25" customHeight="1">
      <c r="A39" s="4">
        <v>1</v>
      </c>
      <c r="B39" s="228" t="s">
        <v>201</v>
      </c>
      <c r="C39" s="229"/>
      <c r="D39" s="229"/>
      <c r="E39" s="229"/>
      <c r="F39" s="229"/>
      <c r="G39" s="229"/>
      <c r="H39" s="229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  <c r="X39" s="229"/>
      <c r="Y39" s="229"/>
      <c r="Z39" s="229"/>
      <c r="AA39" s="229"/>
    </row>
    <row r="40" spans="1:27" ht="11.25" customHeight="1">
      <c r="A40" s="4">
        <v>2</v>
      </c>
      <c r="B40" s="228" t="s">
        <v>202</v>
      </c>
      <c r="C40" s="229"/>
      <c r="D40" s="229"/>
      <c r="E40" s="229"/>
      <c r="F40" s="229"/>
      <c r="G40" s="229"/>
      <c r="H40" s="229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  <c r="X40" s="229"/>
      <c r="Y40" s="229"/>
      <c r="Z40" s="229"/>
      <c r="AA40" s="229"/>
    </row>
    <row r="41" spans="1:27" ht="11.25" customHeight="1">
      <c r="A41" s="4">
        <v>3</v>
      </c>
      <c r="B41" s="228" t="s">
        <v>203</v>
      </c>
      <c r="C41" s="229"/>
      <c r="D41" s="229"/>
      <c r="E41" s="229"/>
      <c r="F41" s="229"/>
      <c r="G41" s="229"/>
      <c r="H41" s="229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  <c r="X41" s="229"/>
      <c r="Y41" s="229"/>
      <c r="Z41" s="229"/>
      <c r="AA41" s="229"/>
    </row>
    <row r="42" spans="1:27" ht="11.25" customHeight="1">
      <c r="A42" s="4">
        <v>4</v>
      </c>
      <c r="B42" s="228" t="s">
        <v>204</v>
      </c>
      <c r="C42" s="229"/>
      <c r="D42" s="229"/>
      <c r="E42" s="229"/>
      <c r="F42" s="229"/>
      <c r="G42" s="229"/>
      <c r="H42" s="229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  <c r="X42" s="229"/>
      <c r="Y42" s="229"/>
      <c r="Z42" s="229"/>
      <c r="AA42" s="229"/>
    </row>
    <row r="43" spans="1:27" ht="11.25" customHeight="1">
      <c r="A43" s="4">
        <v>5</v>
      </c>
      <c r="B43" s="228" t="s">
        <v>205</v>
      </c>
      <c r="C43" s="229"/>
      <c r="D43" s="229"/>
      <c r="E43" s="229"/>
      <c r="F43" s="229"/>
      <c r="G43" s="229"/>
      <c r="H43" s="229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  <c r="X43" s="229"/>
      <c r="Y43" s="229"/>
      <c r="Z43" s="229"/>
      <c r="AA43" s="229"/>
    </row>
    <row r="44" spans="1:27" ht="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5" customHeight="1">
      <c r="A45" s="7" t="s">
        <v>206</v>
      </c>
      <c r="B45" s="7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1.25" customHeight="1">
      <c r="A47" s="4">
        <v>1</v>
      </c>
      <c r="B47" s="228" t="s">
        <v>207</v>
      </c>
      <c r="C47" s="229"/>
      <c r="D47" s="229"/>
      <c r="E47" s="229"/>
      <c r="F47" s="229"/>
      <c r="G47" s="229"/>
      <c r="H47" s="229"/>
      <c r="I47" s="229"/>
      <c r="J47" s="229"/>
      <c r="K47" s="229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  <c r="X47" s="229"/>
      <c r="Y47" s="229"/>
      <c r="Z47" s="229"/>
      <c r="AA47" s="229"/>
    </row>
    <row r="48" spans="1:27" ht="11.25" customHeight="1">
      <c r="A48" s="4">
        <v>2</v>
      </c>
      <c r="B48" s="228" t="s">
        <v>208</v>
      </c>
      <c r="C48" s="229"/>
      <c r="D48" s="229"/>
      <c r="E48" s="229"/>
      <c r="F48" s="229"/>
      <c r="G48" s="229"/>
      <c r="H48" s="229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  <c r="X48" s="229"/>
      <c r="Y48" s="229"/>
      <c r="Z48" s="229"/>
      <c r="AA48" s="229"/>
    </row>
    <row r="49" spans="1:27" ht="11.25" customHeight="1">
      <c r="A49" s="4">
        <v>3</v>
      </c>
      <c r="B49" s="228" t="s">
        <v>209</v>
      </c>
      <c r="C49" s="229"/>
      <c r="D49" s="229"/>
      <c r="E49" s="229"/>
      <c r="F49" s="229"/>
      <c r="G49" s="229"/>
      <c r="H49" s="229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  <c r="X49" s="229"/>
      <c r="Y49" s="229"/>
      <c r="Z49" s="229"/>
      <c r="AA49" s="229"/>
    </row>
    <row r="50" spans="1:27" ht="11.25" customHeight="1">
      <c r="A50" s="4">
        <v>4</v>
      </c>
      <c r="B50" s="228" t="s">
        <v>210</v>
      </c>
      <c r="C50" s="229"/>
      <c r="D50" s="229"/>
      <c r="E50" s="229"/>
      <c r="F50" s="229"/>
      <c r="G50" s="229"/>
      <c r="H50" s="229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  <c r="X50" s="229"/>
      <c r="Y50" s="229"/>
      <c r="Z50" s="229"/>
      <c r="AA50" s="229"/>
    </row>
    <row r="51" spans="1:27" ht="11.25" customHeight="1">
      <c r="A51" s="4">
        <v>5</v>
      </c>
      <c r="B51" s="228" t="s">
        <v>211</v>
      </c>
      <c r="C51" s="229"/>
      <c r="D51" s="229"/>
      <c r="E51" s="229"/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  <c r="X51" s="229"/>
      <c r="Y51" s="229"/>
      <c r="Z51" s="229"/>
      <c r="AA51" s="229"/>
    </row>
    <row r="52" spans="1:27" ht="3.75" customHeight="1">
      <c r="A52" s="4"/>
      <c r="B52" s="9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5" customHeight="1">
      <c r="A53" s="7" t="s">
        <v>212</v>
      </c>
      <c r="B53" s="7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1.25" customHeight="1">
      <c r="A55" s="4">
        <v>1</v>
      </c>
      <c r="B55" s="228" t="s">
        <v>213</v>
      </c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</row>
    <row r="56" spans="1:27" ht="11.25" customHeight="1">
      <c r="A56" s="4">
        <v>2</v>
      </c>
      <c r="B56" s="228" t="s">
        <v>214</v>
      </c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</row>
    <row r="57" spans="1:27" ht="22.5" customHeight="1">
      <c r="A57" s="10">
        <v>3</v>
      </c>
      <c r="B57" s="228" t="s">
        <v>215</v>
      </c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</row>
    <row r="58" spans="1:27" ht="10.5" customHeight="1">
      <c r="A58" s="10">
        <v>4</v>
      </c>
      <c r="B58" s="228" t="s">
        <v>216</v>
      </c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  <c r="X58" s="229"/>
      <c r="Y58" s="229"/>
      <c r="Z58" s="229"/>
      <c r="AA58" s="229"/>
    </row>
    <row r="59" spans="1:27" ht="3.75" customHeight="1">
      <c r="A59" s="4"/>
      <c r="B59" s="9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5" customHeight="1">
      <c r="A60" s="7" t="s">
        <v>217</v>
      </c>
      <c r="B60" s="7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1.25" customHeight="1">
      <c r="A62" s="10">
        <v>1</v>
      </c>
      <c r="B62" s="4" t="s">
        <v>218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0.5" customHeight="1">
      <c r="A63" s="11">
        <v>2</v>
      </c>
      <c r="B63" s="230" t="s">
        <v>219</v>
      </c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  <c r="X63" s="229"/>
      <c r="Y63" s="229"/>
      <c r="Z63" s="229"/>
      <c r="AA63" s="229"/>
    </row>
    <row r="64" spans="1:27" ht="3.75" customHeight="1">
      <c r="A64" s="4"/>
      <c r="B64" s="9"/>
      <c r="C64" s="4"/>
      <c r="D64" s="4"/>
      <c r="E64" s="4"/>
      <c r="F64" s="4"/>
      <c r="G64" s="4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3.5" customHeight="1">
      <c r="A65" s="7" t="s">
        <v>0</v>
      </c>
      <c r="B65" s="7"/>
      <c r="C65" s="8"/>
      <c r="D65" s="8"/>
      <c r="E65" s="8"/>
      <c r="F65" s="8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1.25" customHeight="1">
      <c r="A67" s="4">
        <v>1</v>
      </c>
      <c r="B67" s="4" t="s">
        <v>220</v>
      </c>
      <c r="C67" s="4"/>
      <c r="D67" s="4"/>
      <c r="E67" s="4"/>
      <c r="F67" s="4"/>
      <c r="G67" s="4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 ht="11.25" customHeight="1">
      <c r="A68" s="4">
        <v>2</v>
      </c>
      <c r="B68" s="13" t="s">
        <v>218</v>
      </c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3.75" customHeight="1">
      <c r="A69" s="4"/>
      <c r="B69" s="9"/>
      <c r="C69" s="4"/>
      <c r="D69" s="4"/>
      <c r="E69" s="4"/>
      <c r="F69" s="4"/>
      <c r="G69" s="4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3.5" customHeight="1">
      <c r="A70" s="7" t="s">
        <v>62</v>
      </c>
      <c r="B70" s="7"/>
      <c r="C70" s="8"/>
      <c r="D70" s="8"/>
      <c r="E70" s="8"/>
      <c r="F70" s="8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1.25" customHeight="1">
      <c r="A72" s="4">
        <v>1</v>
      </c>
      <c r="B72" s="13" t="s">
        <v>221</v>
      </c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0.5" customHeight="1">
      <c r="A73" s="10">
        <v>2</v>
      </c>
      <c r="B73" s="228" t="s">
        <v>222</v>
      </c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  <c r="X73" s="229"/>
      <c r="Y73" s="229"/>
      <c r="Z73" s="229"/>
      <c r="AA73" s="229"/>
    </row>
    <row r="74" spans="1:27" ht="11.25" customHeight="1">
      <c r="A74" s="4">
        <v>3</v>
      </c>
      <c r="B74" s="228" t="s">
        <v>223</v>
      </c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  <c r="X74" s="229"/>
      <c r="Y74" s="229"/>
      <c r="Z74" s="229"/>
      <c r="AA74" s="229"/>
    </row>
    <row r="75" spans="1:27" ht="11.25" customHeight="1">
      <c r="A75" s="4">
        <v>4</v>
      </c>
      <c r="B75" s="13" t="s">
        <v>224</v>
      </c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1.25" customHeight="1">
      <c r="A76" s="4">
        <v>5</v>
      </c>
      <c r="B76" s="4" t="s">
        <v>225</v>
      </c>
      <c r="C76" s="4"/>
      <c r="D76" s="4"/>
      <c r="E76" s="4"/>
      <c r="F76" s="4"/>
      <c r="G76" s="4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spans="1:27" ht="11.25" customHeight="1">
      <c r="A77" s="4">
        <v>6</v>
      </c>
      <c r="B77" s="228" t="s">
        <v>226</v>
      </c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  <c r="X77" s="229"/>
      <c r="Y77" s="229"/>
      <c r="Z77" s="229"/>
      <c r="AA77" s="229"/>
    </row>
    <row r="78" spans="1:27" ht="11.25" customHeight="1">
      <c r="A78" s="4">
        <v>7</v>
      </c>
      <c r="B78" s="228" t="s">
        <v>227</v>
      </c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  <c r="X78" s="229"/>
      <c r="Y78" s="229"/>
      <c r="Z78" s="229"/>
      <c r="AA78" s="229"/>
    </row>
    <row r="79" spans="1:27" ht="11.25" customHeight="1">
      <c r="A79" s="4">
        <v>8</v>
      </c>
      <c r="B79" s="228" t="s">
        <v>228</v>
      </c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  <c r="X79" s="229"/>
      <c r="Y79" s="229"/>
      <c r="Z79" s="229"/>
      <c r="AA79" s="229"/>
    </row>
    <row r="80" spans="1:27" ht="25.5" customHeight="1">
      <c r="A80" s="10">
        <v>9</v>
      </c>
      <c r="B80" s="230" t="s">
        <v>229</v>
      </c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  <c r="X80" s="229"/>
      <c r="Y80" s="229"/>
      <c r="Z80" s="229"/>
      <c r="AA80" s="229"/>
    </row>
    <row r="81" spans="1:27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3.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mergeCells count="32">
    <mergeCell ref="B10:AA10"/>
    <mergeCell ref="B11:AA11"/>
    <mergeCell ref="B12:AA12"/>
    <mergeCell ref="B13:AA13"/>
    <mergeCell ref="B14:AA14"/>
    <mergeCell ref="B15:AA15"/>
    <mergeCell ref="B16:AA16"/>
    <mergeCell ref="B17:AA17"/>
    <mergeCell ref="B18:AA18"/>
    <mergeCell ref="B19:AA19"/>
    <mergeCell ref="B25:AA25"/>
    <mergeCell ref="B39:AA39"/>
    <mergeCell ref="B40:AA40"/>
    <mergeCell ref="B41:AA41"/>
    <mergeCell ref="B42:AA42"/>
    <mergeCell ref="B43:AA43"/>
    <mergeCell ref="B47:AA47"/>
    <mergeCell ref="B48:AA48"/>
    <mergeCell ref="B49:AA49"/>
    <mergeCell ref="B50:AA50"/>
    <mergeCell ref="B51:AA51"/>
    <mergeCell ref="B55:AA55"/>
    <mergeCell ref="B56:AA56"/>
    <mergeCell ref="B57:AA57"/>
    <mergeCell ref="B58:AA58"/>
    <mergeCell ref="B79:AA79"/>
    <mergeCell ref="B80:AA80"/>
    <mergeCell ref="B63:AA63"/>
    <mergeCell ref="B73:AA73"/>
    <mergeCell ref="B74:AA74"/>
    <mergeCell ref="B77:AA77"/>
    <mergeCell ref="B78:AA78"/>
  </mergeCells>
  <phoneticPr fontId="27"/>
  <printOptions horizontalCentered="1"/>
  <pageMargins left="0" right="0" top="0.39370078740157499" bottom="0" header="0" footer="0"/>
  <pageSetup paperSize="9" orientation="portrait"/>
  <headerFooter>
    <oddFooter>&amp;RHalaman &amp;P dari   00+000f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Daftar Produk &amp; Bahan (2)</vt:lpstr>
      <vt:lpstr>Petunjuk Pengisian</vt:lpstr>
      <vt:lpstr>'Daftar Produk &amp; Bahan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2026-02-18T05:39:12Z</cp:lastPrinted>
  <dcterms:created xsi:type="dcterms:W3CDTF">2019-09-19T02:06:00Z</dcterms:created>
  <dcterms:modified xsi:type="dcterms:W3CDTF">2026-02-23T04:50:00Z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